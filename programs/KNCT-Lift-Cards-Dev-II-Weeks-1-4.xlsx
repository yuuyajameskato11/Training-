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XES" sheetId="1" state="visible" r:id="rId1"/>
    <sheet name="Intro" sheetId="2" state="visible" r:id="rId2"/>
    <sheet name="Week 1" sheetId="3" state="visible" r:id="rId3"/>
    <sheet name="Week 2" sheetId="4" state="visible" r:id="rId4"/>
    <sheet name="Week 3" sheetId="5" state="visible" r:id="rId5"/>
  </sheets>
  <definedNames>
    <definedName name="clean">'MAXES'!$C$8</definedName>
    <definedName name="squat">'MAXES'!$C$9</definedName>
    <definedName name="bench">'MAXES'!$C$10</definedName>
    <definedName name="jerk">'MAXES'!$C$11</definedName>
    <definedName name="snatch">'MAXES'!$C$12</definedName>
    <definedName name="bodyweight">'MAXES'!$C$13</definedName>
    <definedName name="roundto">'MAXES'!$C$15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"/>
  </numFmts>
  <fonts count="11">
    <font>
      <name val="Calibri"/>
      <family val="2"/>
      <color theme="1"/>
      <sz val="11"/>
      <scheme val="minor"/>
    </font>
    <font>
      <name val="Helvetica Neue"/>
      <b val="1"/>
      <color rgb="00E9E5CF"/>
      <sz val="20"/>
    </font>
    <font>
      <name val="Helvetica Neue"/>
      <b val="1"/>
      <color rgb="00E9E5CF"/>
      <sz val="9"/>
    </font>
    <font>
      <name val="Helvetica Neue"/>
      <b val="1"/>
      <color rgb="006E6A5C"/>
      <sz val="9"/>
    </font>
    <font>
      <name val="Helvetica Neue"/>
      <i val="1"/>
      <color rgb="006E6A5C"/>
      <sz val="8.5"/>
    </font>
    <font>
      <name val="Helvetica Neue"/>
      <b val="1"/>
      <color rgb="001A1A17"/>
      <sz val="10"/>
    </font>
    <font>
      <name val="Helvetica Neue"/>
      <b val="1"/>
      <color rgb="001A1A17"/>
      <sz val="11"/>
    </font>
    <font>
      <name val="Helvetica Neue"/>
      <b val="1"/>
      <color rgb="00E9E5CF"/>
      <sz val="13"/>
    </font>
    <font>
      <name val="Helvetica Neue"/>
      <b val="1"/>
      <color rgb="00E9E5CF"/>
      <sz val="10"/>
    </font>
    <font>
      <name val="Helvetica Neue"/>
      <b val="1"/>
      <color rgb="00E9E5CF"/>
      <sz val="8"/>
    </font>
    <font>
      <name val="Helvetica Neue"/>
      <color rgb="006E6A5C"/>
      <sz val="8.5"/>
    </font>
  </fonts>
  <fills count="4">
    <fill>
      <patternFill/>
    </fill>
    <fill>
      <patternFill patternType="gray125"/>
    </fill>
    <fill>
      <patternFill patternType="solid">
        <fgColor rgb="000B0B0A"/>
      </patternFill>
    </fill>
    <fill>
      <patternFill patternType="solid">
        <fgColor rgb="00FFF6D6"/>
      </patternFill>
    </fill>
  </fills>
  <borders count="2">
    <border>
      <left/>
      <right/>
      <top/>
      <bottom/>
      <diagonal/>
    </border>
    <border>
      <bottom style="thin">
        <color rgb="00D9D5C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1" pivotButton="0" quotePrefix="0" xfId="0"/>
    <xf numFmtId="164" fontId="6" fillId="3" borderId="1" applyAlignment="1" pivotButton="0" quotePrefix="0" xfId="0">
      <alignment horizontal="center"/>
    </xf>
    <xf numFmtId="0" fontId="0" fillId="0" borderId="1" pivotButton="0" quotePrefix="0" xfId="0"/>
    <xf numFmtId="0" fontId="6" fillId="3" borderId="1" applyAlignment="1" pivotButton="0" quotePrefix="0" xfId="0">
      <alignment horizontal="center"/>
    </xf>
    <xf numFmtId="0" fontId="4" fillId="0" borderId="1" pivotButton="0" quotePrefix="0" xfId="0"/>
    <xf numFmtId="0" fontId="7" fillId="2" borderId="0" pivotButton="0" quotePrefix="0" xfId="0"/>
    <xf numFmtId="0" fontId="2" fillId="2" borderId="0" applyAlignment="1" pivotButton="0" quotePrefix="0" xfId="0">
      <alignment horizontal="right"/>
    </xf>
    <xf numFmtId="0" fontId="8" fillId="2" borderId="0" pivotButton="0" quotePrefix="0" xfId="0"/>
    <xf numFmtId="0" fontId="9" fillId="2" borderId="0" applyAlignment="1" pivotButton="0" quotePrefix="0" xfId="0">
      <alignment horizontal="center"/>
    </xf>
    <xf numFmtId="0" fontId="5" fillId="0" borderId="0" applyAlignment="1" pivotButton="0" quotePrefix="0" xfId="0">
      <alignment vertical="center" wrapText="1"/>
    </xf>
    <xf numFmtId="0" fontId="4" fillId="0" borderId="0" pivotButton="0" quotePrefix="0" xfId="0"/>
    <xf numFmtId="0" fontId="10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164" fontId="1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34" customWidth="1" min="4" max="4"/>
    <col width="3" customWidth="1" min="5" max="5"/>
  </cols>
  <sheetData>
    <row r="2" ht="28" customHeight="1">
      <c r="A2" s="1" t="n"/>
      <c r="B2" s="2" t="inlineStr">
        <is>
          <t>KNCT</t>
        </is>
      </c>
      <c r="C2" s="1" t="n"/>
      <c r="D2" s="1" t="n"/>
      <c r="E2" s="1" t="n"/>
    </row>
    <row r="3" ht="18" customHeight="1">
      <c r="A3" s="1" t="n"/>
      <c r="B3" s="3" t="inlineStr">
        <is>
          <t>Lift Cards — Dev II · Weeks 1-4 · Summer '13</t>
        </is>
      </c>
      <c r="C3" s="1" t="n"/>
      <c r="D3" s="1" t="n"/>
      <c r="E3" s="1" t="n"/>
    </row>
    <row r="5">
      <c r="B5" s="4" t="inlineStr">
        <is>
          <t>YOUR TRAINING MAXES</t>
        </is>
      </c>
    </row>
    <row r="6" ht="30" customHeight="1">
      <c r="B6" s="5" t="inlineStr">
        <is>
          <t>Every weight on every week sheet is a percentage of these six numbers. Edit one and the whole program re-prescribes itself.</t>
        </is>
      </c>
    </row>
    <row r="8" ht="22" customHeight="1">
      <c r="B8" s="6" t="inlineStr">
        <is>
          <t>Clean</t>
        </is>
      </c>
      <c r="C8" s="7" t="n">
        <v>325</v>
      </c>
      <c r="D8" s="8" t="n"/>
    </row>
    <row r="9" ht="22" customHeight="1">
      <c r="B9" s="6" t="inlineStr">
        <is>
          <t>Squat</t>
        </is>
      </c>
      <c r="C9" s="7" t="n">
        <v>435</v>
      </c>
      <c r="D9" s="8" t="n"/>
    </row>
    <row r="10" ht="22" customHeight="1">
      <c r="B10" s="6" t="inlineStr">
        <is>
          <t>Bench</t>
        </is>
      </c>
      <c r="C10" s="7" t="n">
        <v>285</v>
      </c>
      <c r="D10" s="8" t="n"/>
    </row>
    <row r="11" ht="22" customHeight="1">
      <c r="B11" s="6" t="inlineStr">
        <is>
          <t>Jerk</t>
        </is>
      </c>
      <c r="C11" s="7" t="n">
        <v>245</v>
      </c>
      <c r="D11" s="8" t="n"/>
    </row>
    <row r="12" ht="22" customHeight="1">
      <c r="B12" s="6" t="inlineStr">
        <is>
          <t>Snatch</t>
        </is>
      </c>
      <c r="C12" s="7" t="n">
        <v>200</v>
      </c>
      <c r="D12" s="8" t="n"/>
    </row>
    <row r="13" ht="22" customHeight="1">
      <c r="B13" s="6" t="inlineStr">
        <is>
          <t>Bodyweight</t>
        </is>
      </c>
      <c r="C13" s="7" t="n">
        <v>205</v>
      </c>
      <c r="D13" s="8" t="n"/>
    </row>
    <row r="15">
      <c r="B15" s="6" t="inlineStr">
        <is>
          <t>Round to nearest</t>
        </is>
      </c>
      <c r="C15" s="9" t="n">
        <v>5</v>
      </c>
      <c r="D15" s="10" t="inlineStr">
        <is>
          <t>5 for pounds · 2.5 for kilos</t>
        </is>
      </c>
    </row>
    <row r="17">
      <c r="B17" s="4" t="inlineStr">
        <is>
          <t>Tested maxes</t>
        </is>
      </c>
    </row>
    <row r="18" ht="30" customHeight="1">
      <c r="B18" s="5" t="inlineStr">
        <is>
          <t>For reference — the card runs off the training maxes above, which sit a little under a true one-rep max: Clean 335 · Squat 450 · Bench 300 · Jerk 275 · Snatch 225</t>
        </is>
      </c>
    </row>
  </sheetData>
  <mergeCells count="4">
    <mergeCell ref="B6:D6"/>
    <mergeCell ref="B18:D18"/>
    <mergeCell ref="B3:D3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5" customWidth="1" min="2" max="2"/>
    <col width="12" customWidth="1" min="3" max="3"/>
    <col width="12" customWidth="1" min="4" max="4"/>
    <col width="10" customWidth="1" min="5" max="5"/>
  </cols>
  <sheetData>
    <row r="1" ht="24" customHeight="1">
      <c r="A1" s="11" t="inlineStr">
        <is>
          <t>Intro</t>
        </is>
      </c>
      <c r="B1" s="1" t="n"/>
      <c r="C1" s="1" t="n"/>
      <c r="D1" s="1" t="n"/>
      <c r="E1" s="12" t="inlineStr">
        <is>
          <t>KNCT</t>
        </is>
      </c>
    </row>
    <row r="3" ht="18" customHeight="1">
      <c r="A3" s="13" t="inlineStr">
        <is>
          <t>MONDAY</t>
        </is>
      </c>
      <c r="B3" s="14" t="inlineStr">
        <is>
          <t>SET</t>
        </is>
      </c>
      <c r="C3" s="14" t="inlineStr">
        <is>
          <t>LOAD</t>
        </is>
      </c>
      <c r="D3" s="14" t="inlineStr">
        <is>
          <t>REPS</t>
        </is>
      </c>
      <c r="E3" s="14" t="inlineStr">
        <is>
          <t>DONE</t>
        </is>
      </c>
    </row>
    <row r="4">
      <c r="A4" s="15" t="inlineStr">
        <is>
          <t>HANG SNATCH</t>
        </is>
      </c>
    </row>
    <row r="5">
      <c r="A5" s="16" t="inlineStr">
        <is>
          <t>rest 3:00 min</t>
        </is>
      </c>
    </row>
    <row r="6">
      <c r="A6" s="8" t="n"/>
      <c r="B6" s="17" t="n">
        <v>1</v>
      </c>
      <c r="C6" s="18">
        <f>ROUND(snatch*0.65/roundto,0)*roundto</f>
        <v/>
      </c>
      <c r="D6" s="17" t="inlineStr">
        <is>
          <t>x3</t>
        </is>
      </c>
      <c r="E6" s="8" t="n"/>
    </row>
    <row r="7">
      <c r="A7" s="8" t="n"/>
      <c r="B7" s="17" t="n">
        <v>2</v>
      </c>
      <c r="C7" s="18">
        <f>ROUND(snatch*0.75/roundto,0)*roundto</f>
        <v/>
      </c>
      <c r="D7" s="17" t="inlineStr">
        <is>
          <t>x3</t>
        </is>
      </c>
      <c r="E7" s="8" t="n"/>
    </row>
    <row r="8">
      <c r="A8" s="8" t="n"/>
      <c r="B8" s="17" t="n">
        <v>3</v>
      </c>
      <c r="C8" s="18">
        <f>ROUND(snatch*0.75/roundto,0)*roundto</f>
        <v/>
      </c>
      <c r="D8" s="17" t="inlineStr">
        <is>
          <t>x3</t>
        </is>
      </c>
      <c r="E8" s="8" t="n"/>
    </row>
    <row r="9">
      <c r="A9" s="8" t="n"/>
      <c r="B9" s="17" t="n">
        <v>4</v>
      </c>
      <c r="C9" s="18">
        <f>ROUND(snatch*0.75/roundto,0)*roundto</f>
        <v/>
      </c>
      <c r="D9" s="17" t="inlineStr">
        <is>
          <t>x3</t>
        </is>
      </c>
      <c r="E9" s="8" t="n"/>
    </row>
    <row r="11">
      <c r="A11" s="15" t="inlineStr">
        <is>
          <t>A1 SQUAT</t>
        </is>
      </c>
    </row>
    <row r="12">
      <c r="A12" s="16" t="inlineStr">
        <is>
          <t>triple rest 1:00min</t>
        </is>
      </c>
    </row>
    <row r="13">
      <c r="A13" s="8" t="n"/>
      <c r="B13" s="17" t="n">
        <v>1</v>
      </c>
      <c r="C13" s="18">
        <f>ROUND(squat*0.7/roundto,0)*roundto</f>
        <v/>
      </c>
      <c r="D13" s="17" t="inlineStr">
        <is>
          <t>x5</t>
        </is>
      </c>
      <c r="E13" s="8" t="n"/>
    </row>
    <row r="14">
      <c r="A14" s="8" t="n"/>
      <c r="B14" s="17" t="n">
        <v>2</v>
      </c>
      <c r="C14" s="18">
        <f>ROUND(squat*0.7/roundto,0)*roundto</f>
        <v/>
      </c>
      <c r="D14" s="17" t="inlineStr">
        <is>
          <t>x5</t>
        </is>
      </c>
      <c r="E14" s="8" t="n"/>
    </row>
    <row r="15">
      <c r="A15" s="8" t="n"/>
      <c r="B15" s="17" t="n">
        <v>3</v>
      </c>
      <c r="C15" s="18">
        <f>ROUND(squat*0.7/roundto,0)*roundto</f>
        <v/>
      </c>
      <c r="D15" s="17" t="inlineStr">
        <is>
          <t>x5</t>
        </is>
      </c>
      <c r="E15" s="8" t="n"/>
    </row>
    <row r="17">
      <c r="A17" s="15" t="inlineStr">
        <is>
          <t>A2 AB WHEEL</t>
        </is>
      </c>
    </row>
    <row r="18">
      <c r="A18" s="8" t="n"/>
      <c r="B18" s="17" t="n">
        <v>1</v>
      </c>
      <c r="C18" s="19" t="inlineStr">
        <is>
          <t>3sets</t>
        </is>
      </c>
      <c r="D18" s="17" t="inlineStr">
        <is>
          <t>x10</t>
        </is>
      </c>
      <c r="E18" s="8" t="n"/>
    </row>
    <row r="20">
      <c r="A20" s="15" t="inlineStr">
        <is>
          <t>A3 Pushup shoulder Tap</t>
        </is>
      </c>
    </row>
    <row r="21">
      <c r="A21" s="8" t="n"/>
      <c r="B21" s="17" t="n">
        <v>1</v>
      </c>
      <c r="C21" s="19" t="inlineStr">
        <is>
          <t>3sets</t>
        </is>
      </c>
      <c r="D21" s="17" t="inlineStr">
        <is>
          <t>x5ea</t>
        </is>
      </c>
      <c r="E21" s="8" t="n"/>
    </row>
    <row r="23">
      <c r="A23" s="15" t="inlineStr">
        <is>
          <t>B1 DB RFE SQUAT</t>
        </is>
      </c>
    </row>
    <row r="24">
      <c r="A24" s="16" t="inlineStr">
        <is>
          <t>pair 1:30 rest</t>
        </is>
      </c>
    </row>
    <row r="25">
      <c r="A25" s="8" t="n"/>
      <c r="B25" s="17" t="n">
        <v>1</v>
      </c>
      <c r="C25" s="18">
        <f>ROUND(squat*0.24/roundto,0)*roundto</f>
        <v/>
      </c>
      <c r="D25" s="17" t="inlineStr">
        <is>
          <t>x8ea</t>
        </is>
      </c>
      <c r="E25" s="8" t="n"/>
    </row>
    <row r="26">
      <c r="A26" s="8" t="n"/>
      <c r="B26" s="17" t="n">
        <v>2</v>
      </c>
      <c r="C26" s="18">
        <f>ROUND(squat*0.26/roundto,0)*roundto</f>
        <v/>
      </c>
      <c r="D26" s="17" t="inlineStr">
        <is>
          <t>x8</t>
        </is>
      </c>
      <c r="E26" s="8" t="n"/>
    </row>
    <row r="27">
      <c r="A27" s="8" t="n"/>
      <c r="B27" s="17" t="n">
        <v>3</v>
      </c>
      <c r="C27" s="18">
        <f>ROUND(squat*0.28/roundto,0)*roundto</f>
        <v/>
      </c>
      <c r="D27" s="17" t="inlineStr">
        <is>
          <t>x8</t>
        </is>
      </c>
      <c r="E27" s="8" t="n"/>
    </row>
    <row r="29">
      <c r="A29" s="15" t="inlineStr">
        <is>
          <t>B2 PG PULLUP + WT</t>
        </is>
      </c>
    </row>
    <row r="30">
      <c r="A30" s="8" t="n"/>
      <c r="B30" s="17" t="n">
        <v>1</v>
      </c>
      <c r="C30" s="8" t="n"/>
      <c r="D30" s="17" t="inlineStr">
        <is>
          <t>x8</t>
        </is>
      </c>
      <c r="E30" s="8" t="n"/>
    </row>
    <row r="31">
      <c r="A31" s="8" t="n"/>
      <c r="B31" s="17" t="n">
        <v>2</v>
      </c>
      <c r="C31" s="8" t="n"/>
      <c r="D31" s="17" t="inlineStr">
        <is>
          <t>x8</t>
        </is>
      </c>
      <c r="E31" s="8" t="n"/>
    </row>
    <row r="32">
      <c r="A32" s="8" t="n"/>
      <c r="B32" s="17" t="n">
        <v>3</v>
      </c>
      <c r="C32" s="8" t="n"/>
      <c r="D32" s="17" t="inlineStr">
        <is>
          <t>x8</t>
        </is>
      </c>
      <c r="E32" s="8" t="n"/>
    </row>
    <row r="34">
      <c r="A34" s="15" t="inlineStr">
        <is>
          <t>C1 Cable Lift</t>
        </is>
      </c>
    </row>
    <row r="35">
      <c r="A35" s="16" t="inlineStr">
        <is>
          <t>pair 1:30 rest</t>
        </is>
      </c>
    </row>
    <row r="36">
      <c r="A36" s="8" t="n"/>
      <c r="B36" s="17" t="n">
        <v>1</v>
      </c>
      <c r="C36" s="8" t="n"/>
      <c r="D36" s="17" t="inlineStr">
        <is>
          <t>x8ea</t>
        </is>
      </c>
      <c r="E36" s="8" t="n"/>
    </row>
    <row r="37">
      <c r="A37" s="8" t="n"/>
      <c r="B37" s="17" t="n">
        <v>2</v>
      </c>
      <c r="C37" s="8" t="n"/>
      <c r="D37" s="17" t="inlineStr">
        <is>
          <t>x8</t>
        </is>
      </c>
      <c r="E37" s="8" t="n"/>
    </row>
    <row r="39">
      <c r="A39" s="15" t="inlineStr">
        <is>
          <t>C2 Blast Strap Hi-Row + ext. rot</t>
        </is>
      </c>
    </row>
    <row r="40">
      <c r="A40" s="8" t="n"/>
      <c r="B40" s="17" t="n">
        <v>1</v>
      </c>
      <c r="C40" s="8" t="n"/>
      <c r="D40" s="17" t="inlineStr">
        <is>
          <t>x10</t>
        </is>
      </c>
      <c r="E40" s="8" t="n"/>
    </row>
    <row r="41">
      <c r="A41" s="8" t="n"/>
      <c r="B41" s="17" t="n">
        <v>2</v>
      </c>
      <c r="C41" s="8" t="n"/>
      <c r="D41" s="17" t="inlineStr">
        <is>
          <t>x10</t>
        </is>
      </c>
      <c r="E41" s="8" t="n"/>
    </row>
    <row r="43">
      <c r="A43" s="15" t="inlineStr">
        <is>
          <t>C3 Hang Crunch</t>
        </is>
      </c>
    </row>
    <row r="44">
      <c r="A44" s="8" t="n"/>
      <c r="B44" s="17" t="n">
        <v>1</v>
      </c>
      <c r="C44" s="8" t="n"/>
      <c r="D44" s="17" t="inlineStr">
        <is>
          <t>x10</t>
        </is>
      </c>
      <c r="E44" s="8" t="n"/>
    </row>
    <row r="47" ht="18" customHeight="1">
      <c r="A47" s="13" t="inlineStr">
        <is>
          <t>TUESDAY</t>
        </is>
      </c>
      <c r="B47" s="14" t="inlineStr">
        <is>
          <t>SET</t>
        </is>
      </c>
      <c r="C47" s="14" t="inlineStr">
        <is>
          <t>LOAD</t>
        </is>
      </c>
      <c r="D47" s="14" t="inlineStr">
        <is>
          <t>REPS</t>
        </is>
      </c>
      <c r="E47" s="14" t="inlineStr">
        <is>
          <t>DONE</t>
        </is>
      </c>
    </row>
    <row r="48">
      <c r="A48" s="15" t="inlineStr">
        <is>
          <t>HANG CLEAN</t>
        </is>
      </c>
    </row>
    <row r="49">
      <c r="A49" s="16" t="inlineStr">
        <is>
          <t>rest 3:00 min</t>
        </is>
      </c>
    </row>
    <row r="50">
      <c r="A50" s="8" t="n"/>
      <c r="B50" s="17" t="n">
        <v>1</v>
      </c>
      <c r="C50" s="18">
        <f>ROUND(clean*0.65/roundto,0)*roundto</f>
        <v/>
      </c>
      <c r="D50" s="17" t="inlineStr">
        <is>
          <t>x3</t>
        </is>
      </c>
      <c r="E50" s="8" t="n"/>
    </row>
    <row r="51">
      <c r="A51" s="8" t="n"/>
      <c r="B51" s="17" t="n">
        <v>2</v>
      </c>
      <c r="C51" s="18">
        <f>ROUND(clean*0.75/roundto,0)*roundto</f>
        <v/>
      </c>
      <c r="D51" s="17" t="inlineStr">
        <is>
          <t>x3</t>
        </is>
      </c>
      <c r="E51" s="8" t="n"/>
    </row>
    <row r="52">
      <c r="A52" s="8" t="n"/>
      <c r="B52" s="17" t="n">
        <v>3</v>
      </c>
      <c r="C52" s="18">
        <f>ROUND(clean*0.75/roundto,0)*roundto</f>
        <v/>
      </c>
      <c r="D52" s="17" t="inlineStr">
        <is>
          <t>x3</t>
        </is>
      </c>
      <c r="E52" s="8" t="n"/>
    </row>
    <row r="53">
      <c r="A53" s="8" t="n"/>
      <c r="B53" s="17" t="n">
        <v>4</v>
      </c>
      <c r="C53" s="18">
        <f>ROUND(clean*0.75/roundto,0)*roundto</f>
        <v/>
      </c>
      <c r="D53" s="17" t="inlineStr">
        <is>
          <t>x3</t>
        </is>
      </c>
      <c r="E53" s="8" t="n"/>
    </row>
    <row r="55">
      <c r="A55" s="15" t="inlineStr">
        <is>
          <t>A1 BENCH PRESS</t>
        </is>
      </c>
    </row>
    <row r="56">
      <c r="A56" s="16" t="inlineStr">
        <is>
          <t>pair rest 1:30min</t>
        </is>
      </c>
    </row>
    <row r="57">
      <c r="A57" s="8" t="n"/>
      <c r="B57" s="17" t="n">
        <v>1</v>
      </c>
      <c r="C57" s="18">
        <f>ROUND(bench*0.7/roundto,0)*roundto</f>
        <v/>
      </c>
      <c r="D57" s="17" t="inlineStr">
        <is>
          <t>x5</t>
        </is>
      </c>
      <c r="E57" s="8" t="n"/>
    </row>
    <row r="58">
      <c r="A58" s="8" t="n"/>
      <c r="B58" s="17" t="n">
        <v>2</v>
      </c>
      <c r="C58" s="18">
        <f>ROUND(bench*0.7/roundto,0)*roundto</f>
        <v/>
      </c>
      <c r="D58" s="17" t="inlineStr">
        <is>
          <t>x5</t>
        </is>
      </c>
      <c r="E58" s="8" t="n"/>
    </row>
    <row r="59">
      <c r="A59" s="8" t="n"/>
      <c r="B59" s="17" t="n">
        <v>3</v>
      </c>
      <c r="C59" s="18">
        <f>ROUND(bench*0.7/roundto,0)*roundto</f>
        <v/>
      </c>
      <c r="D59" s="17" t="inlineStr">
        <is>
          <t>x5</t>
        </is>
      </c>
      <c r="E59" s="8" t="n"/>
    </row>
    <row r="61">
      <c r="A61" s="15" t="inlineStr">
        <is>
          <t>A2 GHR + WT</t>
        </is>
      </c>
    </row>
    <row r="62">
      <c r="A62" s="8" t="n"/>
      <c r="B62" s="17" t="n">
        <v>1</v>
      </c>
      <c r="C62" s="8" t="n"/>
      <c r="D62" s="17" t="inlineStr">
        <is>
          <t>x5</t>
        </is>
      </c>
      <c r="E62" s="8" t="n"/>
    </row>
    <row r="63">
      <c r="A63" s="8" t="n"/>
      <c r="B63" s="17" t="n">
        <v>2</v>
      </c>
      <c r="C63" s="8" t="n"/>
      <c r="D63" s="17" t="inlineStr">
        <is>
          <t>x5</t>
        </is>
      </c>
      <c r="E63" s="8" t="n"/>
    </row>
    <row r="64">
      <c r="A64" s="8" t="n"/>
      <c r="B64" s="17" t="n">
        <v>3</v>
      </c>
      <c r="C64" s="8" t="n"/>
      <c r="D64" s="17" t="inlineStr">
        <is>
          <t>x5</t>
        </is>
      </c>
      <c r="E64" s="8" t="n"/>
    </row>
    <row r="66">
      <c r="A66" s="15" t="inlineStr">
        <is>
          <t>B1 thick bar military press</t>
        </is>
      </c>
    </row>
    <row r="67">
      <c r="A67" s="16" t="inlineStr">
        <is>
          <t>pair 1:30 rest</t>
        </is>
      </c>
    </row>
    <row r="68">
      <c r="A68" s="8" t="n"/>
      <c r="B68" s="17" t="n">
        <v>1</v>
      </c>
      <c r="C68" s="18">
        <f>ROUND(bench*0.33/roundto,0)*roundto</f>
        <v/>
      </c>
      <c r="D68" s="17" t="inlineStr">
        <is>
          <t>x8</t>
        </is>
      </c>
      <c r="E68" s="8" t="n"/>
    </row>
    <row r="69">
      <c r="A69" s="8" t="n"/>
      <c r="B69" s="17" t="n">
        <v>2</v>
      </c>
      <c r="C69" s="18">
        <f>ROUND(bench*0.3575/roundto,0)*roundto</f>
        <v/>
      </c>
      <c r="D69" s="17" t="inlineStr">
        <is>
          <t>x8</t>
        </is>
      </c>
      <c r="E69" s="8" t="n"/>
    </row>
    <row r="70">
      <c r="A70" s="8" t="n"/>
      <c r="B70" s="17" t="n">
        <v>3</v>
      </c>
      <c r="C70" s="18">
        <f>ROUND(bench*0.385/roundto,0)*roundto</f>
        <v/>
      </c>
      <c r="D70" s="17" t="inlineStr">
        <is>
          <t>x8</t>
        </is>
      </c>
      <c r="E70" s="8" t="n"/>
    </row>
    <row r="72">
      <c r="A72" s="15" t="inlineStr">
        <is>
          <t>B2 DB SL RDL</t>
        </is>
      </c>
    </row>
    <row r="73">
      <c r="A73" s="8" t="n"/>
      <c r="B73" s="17" t="n">
        <v>1</v>
      </c>
      <c r="C73" s="18">
        <f>ROUND(clean*0.35/roundto,0)*roundto</f>
        <v/>
      </c>
      <c r="D73" s="17" t="inlineStr">
        <is>
          <t>x4ea</t>
        </is>
      </c>
      <c r="E73" s="8" t="n"/>
    </row>
    <row r="74">
      <c r="A74" s="8" t="n"/>
      <c r="B74" s="17" t="n">
        <v>2</v>
      </c>
      <c r="C74" s="18">
        <f>ROUND(clean*0.375/roundto,0)*roundto</f>
        <v/>
      </c>
      <c r="D74" s="17" t="inlineStr">
        <is>
          <t>x4</t>
        </is>
      </c>
      <c r="E74" s="8" t="n"/>
    </row>
    <row r="75">
      <c r="A75" s="8" t="n"/>
      <c r="B75" s="17" t="n">
        <v>3</v>
      </c>
      <c r="C75" s="18">
        <f>ROUND(clean*0.4/roundto,0)*roundto</f>
        <v/>
      </c>
      <c r="D75" s="17" t="inlineStr">
        <is>
          <t>x4</t>
        </is>
      </c>
      <c r="E75" s="8" t="n"/>
    </row>
    <row r="77">
      <c r="A77" s="15" t="inlineStr">
        <is>
          <t>C1 SL BB DEADLIFT</t>
        </is>
      </c>
    </row>
    <row r="78">
      <c r="A78" s="8" t="n"/>
      <c r="B78" s="17" t="n">
        <v>1</v>
      </c>
      <c r="C78" s="18">
        <f>ROUND(clean*0.325/roundto,0)*roundto</f>
        <v/>
      </c>
      <c r="D78" s="17" t="inlineStr">
        <is>
          <t>x5ea</t>
        </is>
      </c>
      <c r="E78" s="8" t="n"/>
    </row>
    <row r="79">
      <c r="A79" s="8" t="n"/>
      <c r="B79" s="17" t="n">
        <v>2</v>
      </c>
      <c r="C79" s="18">
        <f>ROUND(clean*0.35/roundto,0)*roundto</f>
        <v/>
      </c>
      <c r="D79" s="17" t="inlineStr">
        <is>
          <t>x5</t>
        </is>
      </c>
      <c r="E79" s="8" t="n"/>
    </row>
    <row r="81">
      <c r="A81" s="15" t="inlineStr">
        <is>
          <t>C2 Cable Rope Tricep Extension</t>
        </is>
      </c>
    </row>
    <row r="82">
      <c r="A82" s="8" t="n"/>
      <c r="B82" s="17" t="n">
        <v>1</v>
      </c>
      <c r="C82" s="8" t="n"/>
      <c r="D82" s="17" t="inlineStr">
        <is>
          <t>x10</t>
        </is>
      </c>
      <c r="E82" s="8" t="n"/>
    </row>
    <row r="83">
      <c r="A83" s="8" t="n"/>
      <c r="B83" s="17" t="n">
        <v>2</v>
      </c>
      <c r="C83" s="8" t="n"/>
      <c r="D83" s="17" t="inlineStr">
        <is>
          <t>x10</t>
        </is>
      </c>
      <c r="E83" s="8" t="n"/>
    </row>
    <row r="86" ht="18" customHeight="1">
      <c r="A86" s="13" t="inlineStr">
        <is>
          <t>THURSDAY</t>
        </is>
      </c>
      <c r="B86" s="14" t="inlineStr">
        <is>
          <t>SET</t>
        </is>
      </c>
      <c r="C86" s="14" t="inlineStr">
        <is>
          <t>LOAD</t>
        </is>
      </c>
      <c r="D86" s="14" t="inlineStr">
        <is>
          <t>REPS</t>
        </is>
      </c>
      <c r="E86" s="14" t="inlineStr">
        <is>
          <t>DONE</t>
        </is>
      </c>
    </row>
    <row r="87">
      <c r="A87" s="15" t="inlineStr">
        <is>
          <t>DB SNATCH</t>
        </is>
      </c>
    </row>
    <row r="88">
      <c r="A88" s="16" t="inlineStr">
        <is>
          <t>rest 3:00 min</t>
        </is>
      </c>
    </row>
    <row r="89">
      <c r="A89" s="8" t="n"/>
      <c r="B89" s="17" t="n">
        <v>1</v>
      </c>
      <c r="C89" s="18">
        <f>ROUND(snatch*0.385/roundto,0)*roundto</f>
        <v/>
      </c>
      <c r="D89" s="17" t="inlineStr">
        <is>
          <t>x2ea</t>
        </is>
      </c>
      <c r="E89" s="8" t="n"/>
    </row>
    <row r="90">
      <c r="A90" s="8" t="n"/>
      <c r="B90" s="17" t="n">
        <v>2</v>
      </c>
      <c r="C90" s="18">
        <f>ROUND(snatch*0.4125/roundto,0)*roundto</f>
        <v/>
      </c>
      <c r="D90" s="17" t="inlineStr">
        <is>
          <t>x2</t>
        </is>
      </c>
      <c r="E90" s="8" t="n"/>
    </row>
    <row r="91">
      <c r="A91" s="8" t="n"/>
      <c r="B91" s="17" t="n">
        <v>3</v>
      </c>
      <c r="C91" s="18">
        <f>ROUND(snatch*0.44/roundto,0)*roundto</f>
        <v/>
      </c>
      <c r="D91" s="17" t="inlineStr">
        <is>
          <t>x2</t>
        </is>
      </c>
      <c r="E91" s="8" t="n"/>
    </row>
    <row r="93">
      <c r="A93" s="15" t="inlineStr">
        <is>
          <t>A1 SQUAT</t>
        </is>
      </c>
    </row>
    <row r="94">
      <c r="A94" s="16" t="inlineStr">
        <is>
          <t>pair 1:30min</t>
        </is>
      </c>
    </row>
    <row r="95">
      <c r="A95" s="8" t="n"/>
      <c r="B95" s="17" t="n">
        <v>1</v>
      </c>
      <c r="C95" s="18">
        <f>ROUND(squat*0.7/roundto,0)*roundto</f>
        <v/>
      </c>
      <c r="D95" s="17" t="inlineStr">
        <is>
          <t>x5</t>
        </is>
      </c>
      <c r="E95" s="8" t="n"/>
    </row>
    <row r="96">
      <c r="A96" s="8" t="n"/>
      <c r="B96" s="17" t="n">
        <v>2</v>
      </c>
      <c r="C96" s="18">
        <f>ROUND(squat*0.7/roundto,0)*roundto</f>
        <v/>
      </c>
      <c r="D96" s="17" t="inlineStr">
        <is>
          <t>x5</t>
        </is>
      </c>
      <c r="E96" s="8" t="n"/>
    </row>
    <row r="97">
      <c r="A97" s="8" t="n"/>
      <c r="B97" s="17" t="n">
        <v>3</v>
      </c>
      <c r="C97" s="18">
        <f>ROUND(squat*0.7/roundto,0)*roundto</f>
        <v/>
      </c>
      <c r="D97" s="17" t="inlineStr">
        <is>
          <t>x5</t>
        </is>
      </c>
      <c r="E97" s="8" t="n"/>
    </row>
    <row r="98">
      <c r="A98" s="8" t="n"/>
      <c r="B98" s="17" t="n">
        <v>4</v>
      </c>
      <c r="C98" s="18">
        <f>ROUND(squat*0.7/roundto,0)*roundto</f>
        <v/>
      </c>
      <c r="D98" s="17" t="inlineStr">
        <is>
          <t>x5</t>
        </is>
      </c>
      <c r="E98" s="8" t="n"/>
    </row>
    <row r="100">
      <c r="A100" s="15" t="inlineStr">
        <is>
          <t>A2 DB ROW</t>
        </is>
      </c>
    </row>
    <row r="101">
      <c r="A101" s="8" t="n"/>
      <c r="B101" s="17" t="n">
        <v>1</v>
      </c>
      <c r="C101" s="18">
        <f>ROUND(clean*0.28/roundto,0)*roundto</f>
        <v/>
      </c>
      <c r="D101" s="17" t="inlineStr">
        <is>
          <t>x6ea</t>
        </is>
      </c>
      <c r="E101" s="8" t="n"/>
    </row>
    <row r="102">
      <c r="A102" s="8" t="n"/>
      <c r="B102" s="17" t="n">
        <v>2</v>
      </c>
      <c r="C102" s="18">
        <f>ROUND(clean*0.3/roundto,0)*roundto</f>
        <v/>
      </c>
      <c r="D102" s="17" t="inlineStr">
        <is>
          <t>x6</t>
        </is>
      </c>
      <c r="E102" s="8" t="n"/>
    </row>
    <row r="103">
      <c r="A103" s="8" t="n"/>
      <c r="B103" s="17" t="n">
        <v>3</v>
      </c>
      <c r="C103" s="18">
        <f>ROUND(clean*0.32/roundto,0)*roundto</f>
        <v/>
      </c>
      <c r="D103" s="17" t="inlineStr">
        <is>
          <t>x6</t>
        </is>
      </c>
      <c r="E103" s="8" t="n"/>
    </row>
    <row r="105">
      <c r="A105" s="15" t="inlineStr">
        <is>
          <t>B1 DB REVERSE LUNGE</t>
        </is>
      </c>
    </row>
    <row r="106">
      <c r="A106" s="16" t="inlineStr">
        <is>
          <t>pair 1:30 rest all on right/all on left · (total weight)</t>
        </is>
      </c>
    </row>
    <row r="107">
      <c r="A107" s="8" t="n"/>
      <c r="B107" s="17" t="n">
        <v>1</v>
      </c>
      <c r="C107" s="18">
        <f>ROUND(squat*0.26/roundto,0)*roundto</f>
        <v/>
      </c>
      <c r="D107" s="17" t="inlineStr">
        <is>
          <t>x8ea</t>
        </is>
      </c>
      <c r="E107" s="8" t="n"/>
    </row>
    <row r="108">
      <c r="A108" s="8" t="n"/>
      <c r="B108" s="17" t="n">
        <v>2</v>
      </c>
      <c r="C108" s="18">
        <f>ROUND(squat*0.28/roundto,0)*roundto</f>
        <v/>
      </c>
      <c r="D108" s="17" t="inlineStr">
        <is>
          <t>x8</t>
        </is>
      </c>
      <c r="E108" s="8" t="n"/>
    </row>
    <row r="109">
      <c r="A109" s="8" t="n"/>
      <c r="B109" s="17" t="n">
        <v>3</v>
      </c>
      <c r="C109" s="18">
        <f>ROUND(squat*0.3/roundto,0)*roundto</f>
        <v/>
      </c>
      <c r="D109" s="17" t="inlineStr">
        <is>
          <t>x8</t>
        </is>
      </c>
      <c r="E109" s="8" t="n"/>
    </row>
    <row r="111">
      <c r="A111" s="15" t="inlineStr">
        <is>
          <t>B2 cable chop</t>
        </is>
      </c>
    </row>
    <row r="112">
      <c r="A112" s="8" t="n"/>
      <c r="B112" s="17" t="n">
        <v>1</v>
      </c>
      <c r="C112" s="8" t="n"/>
      <c r="D112" s="17" t="inlineStr">
        <is>
          <t>x8ea</t>
        </is>
      </c>
      <c r="E112" s="8" t="n"/>
    </row>
    <row r="113">
      <c r="A113" s="8" t="n"/>
      <c r="B113" s="17" t="n">
        <v>2</v>
      </c>
      <c r="C113" s="8" t="n"/>
      <c r="D113" s="17" t="inlineStr">
        <is>
          <t>x8</t>
        </is>
      </c>
      <c r="E113" s="8" t="n"/>
    </row>
    <row r="115">
      <c r="A115" s="15" t="inlineStr">
        <is>
          <t>C1 THICK GRIP PG Pullup</t>
        </is>
      </c>
    </row>
    <row r="116">
      <c r="A116" s="16" t="inlineStr">
        <is>
          <t>pair 1:30 rest</t>
        </is>
      </c>
    </row>
    <row r="117">
      <c r="A117" s="8" t="n"/>
      <c r="B117" s="17" t="n">
        <v>1</v>
      </c>
      <c r="C117" s="8" t="n"/>
      <c r="D117" s="17" t="inlineStr">
        <is>
          <t>xmax</t>
        </is>
      </c>
      <c r="E117" s="8" t="n"/>
    </row>
    <row r="118">
      <c r="A118" s="8" t="n"/>
      <c r="B118" s="17" t="n">
        <v>2</v>
      </c>
      <c r="C118" s="8" t="n"/>
      <c r="D118" s="17" t="inlineStr">
        <is>
          <t>xmax</t>
        </is>
      </c>
      <c r="E118" s="8" t="n"/>
    </row>
    <row r="120">
      <c r="A120" s="15" t="inlineStr">
        <is>
          <t>C2 Cable Pushaways</t>
        </is>
      </c>
    </row>
    <row r="121">
      <c r="A121" s="8" t="n"/>
      <c r="B121" s="17" t="n">
        <v>1</v>
      </c>
      <c r="C121" s="8" t="n"/>
      <c r="D121" s="17" t="inlineStr">
        <is>
          <t>x10ea</t>
        </is>
      </c>
      <c r="E121" s="8" t="n"/>
    </row>
    <row r="122">
      <c r="A122" s="8" t="n"/>
      <c r="B122" s="17" t="n">
        <v>2</v>
      </c>
      <c r="C122" s="8" t="n"/>
      <c r="D122" s="17" t="inlineStr">
        <is>
          <t>x10</t>
        </is>
      </c>
      <c r="E122" s="8" t="n"/>
    </row>
    <row r="125" ht="18" customHeight="1">
      <c r="A125" s="13" t="inlineStr">
        <is>
          <t>FRIDAY</t>
        </is>
      </c>
      <c r="B125" s="14" t="inlineStr">
        <is>
          <t>SET</t>
        </is>
      </c>
      <c r="C125" s="14" t="inlineStr">
        <is>
          <t>LOAD</t>
        </is>
      </c>
      <c r="D125" s="14" t="inlineStr">
        <is>
          <t>REPS</t>
        </is>
      </c>
      <c r="E125" s="14" t="inlineStr">
        <is>
          <t>DONE</t>
        </is>
      </c>
    </row>
    <row r="126">
      <c r="A126" s="15" t="inlineStr">
        <is>
          <t>PUSH JERK</t>
        </is>
      </c>
    </row>
    <row r="127">
      <c r="A127" s="16" t="inlineStr">
        <is>
          <t>rest 2:00 min</t>
        </is>
      </c>
    </row>
    <row r="128">
      <c r="A128" s="8" t="n"/>
      <c r="B128" s="17" t="n">
        <v>1</v>
      </c>
      <c r="C128" s="18">
        <f>ROUND(jerk*0.65/roundto,0)*roundto</f>
        <v/>
      </c>
      <c r="D128" s="17" t="inlineStr">
        <is>
          <t>x4</t>
        </is>
      </c>
      <c r="E128" s="8" t="n"/>
    </row>
    <row r="129">
      <c r="A129" s="8" t="n"/>
      <c r="B129" s="17" t="n">
        <v>2</v>
      </c>
      <c r="C129" s="18">
        <f>ROUND(jerk*0.7/roundto,0)*roundto</f>
        <v/>
      </c>
      <c r="D129" s="17" t="inlineStr">
        <is>
          <t>x4</t>
        </is>
      </c>
      <c r="E129" s="8" t="n"/>
    </row>
    <row r="130">
      <c r="A130" s="8" t="n"/>
      <c r="B130" s="17" t="n">
        <v>3</v>
      </c>
      <c r="C130" s="18">
        <f>ROUND(jerk*0.75/roundto,0)*roundto</f>
        <v/>
      </c>
      <c r="D130" s="17" t="inlineStr">
        <is>
          <t>x4</t>
        </is>
      </c>
      <c r="E130" s="8" t="n"/>
    </row>
    <row r="132">
      <c r="A132" s="15" t="inlineStr">
        <is>
          <t>A1 BENCH PRESS</t>
        </is>
      </c>
    </row>
    <row r="133">
      <c r="A133" s="16" t="inlineStr">
        <is>
          <t>pair rest 1:30min</t>
        </is>
      </c>
    </row>
    <row r="134">
      <c r="A134" s="8" t="n"/>
      <c r="B134" s="17" t="n">
        <v>1</v>
      </c>
      <c r="C134" s="18">
        <f>ROUND(bench*0.7/roundto,0)*roundto</f>
        <v/>
      </c>
      <c r="D134" s="17" t="inlineStr">
        <is>
          <t>x5</t>
        </is>
      </c>
      <c r="E134" s="8" t="n"/>
    </row>
    <row r="135">
      <c r="A135" s="8" t="n"/>
      <c r="B135" s="17" t="n">
        <v>2</v>
      </c>
      <c r="C135" s="18">
        <f>ROUND(bench*0.7/roundto,0)*roundto</f>
        <v/>
      </c>
      <c r="D135" s="17" t="inlineStr">
        <is>
          <t>x5</t>
        </is>
      </c>
      <c r="E135" s="8" t="n"/>
    </row>
    <row r="136">
      <c r="A136" s="8" t="n"/>
      <c r="B136" s="17" t="n">
        <v>3</v>
      </c>
      <c r="C136" s="18">
        <f>ROUND(bench*0.7/roundto,0)*roundto</f>
        <v/>
      </c>
      <c r="D136" s="17" t="inlineStr">
        <is>
          <t>x5</t>
        </is>
      </c>
      <c r="E136" s="8" t="n"/>
    </row>
    <row r="137">
      <c r="A137" s="8" t="n"/>
      <c r="B137" s="17" t="n">
        <v>4</v>
      </c>
      <c r="C137" s="18">
        <f>ROUND(bench*0.7/roundto,0)*roundto</f>
        <v/>
      </c>
      <c r="D137" s="17" t="inlineStr">
        <is>
          <t>x5</t>
        </is>
      </c>
      <c r="E137" s="8" t="n"/>
    </row>
    <row r="139">
      <c r="A139" s="15" t="inlineStr">
        <is>
          <t>A2 BB CLEAN GRIP DEADLIFT</t>
        </is>
      </c>
    </row>
    <row r="140">
      <c r="A140" s="8" t="n"/>
      <c r="B140" s="17" t="n">
        <v>1</v>
      </c>
      <c r="C140" s="18">
        <f>ROUND(clean*0.84/roundto,0)*roundto</f>
        <v/>
      </c>
      <c r="D140" s="17" t="inlineStr">
        <is>
          <t>x4</t>
        </is>
      </c>
      <c r="E140" s="8" t="n"/>
    </row>
    <row r="141">
      <c r="A141" s="8" t="n"/>
      <c r="B141" s="17" t="n">
        <v>2</v>
      </c>
      <c r="C141" s="18">
        <f>ROUND(clean*0.9/roundto,0)*roundto</f>
        <v/>
      </c>
      <c r="D141" s="17" t="inlineStr">
        <is>
          <t>x4</t>
        </is>
      </c>
      <c r="E141" s="8" t="n"/>
    </row>
    <row r="142">
      <c r="A142" s="8" t="n"/>
      <c r="B142" s="17" t="n">
        <v>3</v>
      </c>
      <c r="C142" s="18">
        <f>ROUND(clean*0.96/roundto,0)*roundto</f>
        <v/>
      </c>
      <c r="D142" s="17" t="inlineStr">
        <is>
          <t>x4</t>
        </is>
      </c>
      <c r="E142" s="8" t="n"/>
    </row>
    <row r="144">
      <c r="A144" s="15" t="inlineStr">
        <is>
          <t>B1 ALT DB LOCKOUT INCLINE PRESS</t>
        </is>
      </c>
    </row>
    <row r="145">
      <c r="A145" s="16" t="inlineStr">
        <is>
          <t>pair 1:30 rest</t>
        </is>
      </c>
    </row>
    <row r="146">
      <c r="A146" s="8" t="n"/>
      <c r="B146" s="17" t="n">
        <v>1</v>
      </c>
      <c r="C146" s="18">
        <f>ROUND(bench*0.245/roundto,0)*roundto</f>
        <v/>
      </c>
      <c r="D146" s="17" t="inlineStr">
        <is>
          <t>x4ea</t>
        </is>
      </c>
      <c r="E146" s="8" t="n"/>
    </row>
    <row r="147">
      <c r="A147" s="8" t="n"/>
      <c r="B147" s="17" t="n">
        <v>2</v>
      </c>
      <c r="C147" s="18">
        <f>ROUND(bench*0.2625/roundto,0)*roundto</f>
        <v/>
      </c>
      <c r="D147" s="17" t="inlineStr">
        <is>
          <t>x4</t>
        </is>
      </c>
      <c r="E147" s="8" t="n"/>
    </row>
    <row r="148">
      <c r="A148" s="8" t="n"/>
      <c r="B148" s="17" t="n">
        <v>3</v>
      </c>
      <c r="C148" s="18">
        <f>ROUND(bench*0.28/roundto,0)*roundto</f>
        <v/>
      </c>
      <c r="D148" s="17" t="inlineStr">
        <is>
          <t>xmax</t>
        </is>
      </c>
      <c r="E148" s="8" t="n"/>
    </row>
    <row r="150">
      <c r="A150" s="15" t="inlineStr">
        <is>
          <t>B2 Russian Curl + DB Wt</t>
        </is>
      </c>
    </row>
    <row r="151">
      <c r="A151" s="8" t="n"/>
      <c r="B151" s="17" t="n">
        <v>1</v>
      </c>
      <c r="C151" s="8" t="n"/>
      <c r="D151" s="17" t="inlineStr">
        <is>
          <t>x6</t>
        </is>
      </c>
      <c r="E151" s="8" t="n"/>
    </row>
    <row r="152">
      <c r="A152" s="8" t="n"/>
      <c r="B152" s="17" t="n">
        <v>2</v>
      </c>
      <c r="C152" s="8" t="n"/>
      <c r="D152" s="17" t="inlineStr">
        <is>
          <t>x6</t>
        </is>
      </c>
      <c r="E152" s="8" t="n"/>
    </row>
    <row r="153">
      <c r="A153" s="8" t="n"/>
      <c r="B153" s="17" t="n">
        <v>3</v>
      </c>
      <c r="C153" s="8" t="n"/>
      <c r="D153" s="17" t="inlineStr">
        <is>
          <t>x6</t>
        </is>
      </c>
      <c r="E153" s="8" t="n"/>
    </row>
    <row r="155">
      <c r="A155" s="15" t="inlineStr">
        <is>
          <t>C1 Blast Strap Rear Delt Flyes</t>
        </is>
      </c>
    </row>
    <row r="156">
      <c r="A156" s="8" t="n"/>
      <c r="B156" s="17" t="n">
        <v>1</v>
      </c>
      <c r="C156" s="8" t="n"/>
      <c r="D156" s="17" t="inlineStr">
        <is>
          <t>x12</t>
        </is>
      </c>
      <c r="E156" s="8" t="n"/>
    </row>
    <row r="157">
      <c r="A157" s="8" t="n"/>
      <c r="B157" s="17" t="n">
        <v>2</v>
      </c>
      <c r="C157" s="8" t="n"/>
      <c r="D157" s="17" t="inlineStr">
        <is>
          <t>x12</t>
        </is>
      </c>
      <c r="E157" s="8" t="n"/>
    </row>
    <row r="159">
      <c r="A159" s="15" t="inlineStr">
        <is>
          <t>C2 SB SL LEG CURL</t>
        </is>
      </c>
    </row>
    <row r="160">
      <c r="A160" s="8" t="n"/>
      <c r="B160" s="17" t="n">
        <v>1</v>
      </c>
      <c r="C160" s="8" t="n"/>
      <c r="D160" s="17" t="inlineStr">
        <is>
          <t>x6ea</t>
        </is>
      </c>
      <c r="E160" s="8" t="n"/>
    </row>
    <row r="161">
      <c r="A161" s="8" t="n"/>
      <c r="B161" s="17" t="n">
        <v>2</v>
      </c>
      <c r="C161" s="8" t="n"/>
      <c r="D161" s="17" t="inlineStr">
        <is>
          <t>x6</t>
        </is>
      </c>
      <c r="E161" s="8" t="n"/>
    </row>
  </sheetData>
  <mergeCells count="14">
    <mergeCell ref="A35:E35"/>
    <mergeCell ref="A12:E12"/>
    <mergeCell ref="A24:E24"/>
    <mergeCell ref="A49:E49"/>
    <mergeCell ref="A116:E116"/>
    <mergeCell ref="A5:E5"/>
    <mergeCell ref="A94:E94"/>
    <mergeCell ref="A133:E133"/>
    <mergeCell ref="A145:E145"/>
    <mergeCell ref="A88:E88"/>
    <mergeCell ref="A127:E127"/>
    <mergeCell ref="A56:E56"/>
    <mergeCell ref="A67:E67"/>
    <mergeCell ref="A106:E106"/>
  </mergeCells>
  <printOptions horizontalCentered="1"/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5" customWidth="1" min="2" max="2"/>
    <col width="12" customWidth="1" min="3" max="3"/>
    <col width="12" customWidth="1" min="4" max="4"/>
    <col width="10" customWidth="1" min="5" max="5"/>
  </cols>
  <sheetData>
    <row r="1" ht="24" customHeight="1">
      <c r="A1" s="11" t="inlineStr">
        <is>
          <t>Week 1</t>
        </is>
      </c>
      <c r="B1" s="1" t="n"/>
      <c r="C1" s="1" t="n"/>
      <c r="D1" s="1" t="n"/>
      <c r="E1" s="12" t="inlineStr">
        <is>
          <t>KNCT</t>
        </is>
      </c>
    </row>
    <row r="3" ht="18" customHeight="1">
      <c r="A3" s="13" t="inlineStr">
        <is>
          <t>MONDAY</t>
        </is>
      </c>
      <c r="B3" s="14" t="inlineStr">
        <is>
          <t>SET</t>
        </is>
      </c>
      <c r="C3" s="14" t="inlineStr">
        <is>
          <t>LOAD</t>
        </is>
      </c>
      <c r="D3" s="14" t="inlineStr">
        <is>
          <t>REPS</t>
        </is>
      </c>
      <c r="E3" s="14" t="inlineStr">
        <is>
          <t>DONE</t>
        </is>
      </c>
    </row>
    <row r="4">
      <c r="A4" s="15" t="inlineStr">
        <is>
          <t>HANG SNATCH</t>
        </is>
      </c>
    </row>
    <row r="5">
      <c r="A5" s="16" t="inlineStr">
        <is>
          <t>rest 3:00 min</t>
        </is>
      </c>
    </row>
    <row r="6">
      <c r="A6" s="8" t="n"/>
      <c r="B6" s="17" t="n">
        <v>1</v>
      </c>
      <c r="C6" s="18">
        <f>ROUND(snatch*0.7/roundto,0)*roundto</f>
        <v/>
      </c>
      <c r="D6" s="17" t="inlineStr">
        <is>
          <t>x3</t>
        </is>
      </c>
      <c r="E6" s="8" t="n"/>
    </row>
    <row r="7">
      <c r="A7" s="8" t="n"/>
      <c r="B7" s="17" t="n">
        <v>2</v>
      </c>
      <c r="C7" s="18">
        <f>ROUND(snatch*0.8/roundto,0)*roundto</f>
        <v/>
      </c>
      <c r="D7" s="17" t="inlineStr">
        <is>
          <t>x3</t>
        </is>
      </c>
      <c r="E7" s="8" t="n"/>
    </row>
    <row r="8">
      <c r="A8" s="8" t="n"/>
      <c r="B8" s="17" t="n">
        <v>3</v>
      </c>
      <c r="C8" s="18">
        <f>ROUND(snatch*0.8/roundto,0)*roundto</f>
        <v/>
      </c>
      <c r="D8" s="17" t="inlineStr">
        <is>
          <t>x3</t>
        </is>
      </c>
      <c r="E8" s="8" t="n"/>
    </row>
    <row r="9">
      <c r="A9" s="8" t="n"/>
      <c r="B9" s="17" t="n">
        <v>4</v>
      </c>
      <c r="C9" s="18">
        <f>ROUND(snatch*0.8/roundto,0)*roundto</f>
        <v/>
      </c>
      <c r="D9" s="17" t="inlineStr">
        <is>
          <t>x3</t>
        </is>
      </c>
      <c r="E9" s="8" t="n"/>
    </row>
    <row r="11">
      <c r="A11" s="15" t="inlineStr">
        <is>
          <t>A1 SQUAT</t>
        </is>
      </c>
    </row>
    <row r="12">
      <c r="A12" s="16" t="inlineStr">
        <is>
          <t>triple rest 1:00min</t>
        </is>
      </c>
    </row>
    <row r="13">
      <c r="A13" s="8" t="n"/>
      <c r="B13" s="17" t="n">
        <v>1</v>
      </c>
      <c r="C13" s="18">
        <f>ROUND(squat*0.8/roundto,0)*roundto</f>
        <v/>
      </c>
      <c r="D13" s="17" t="inlineStr">
        <is>
          <t>x2</t>
        </is>
      </c>
      <c r="E13" s="8" t="n"/>
    </row>
    <row r="14">
      <c r="A14" s="8" t="n"/>
      <c r="B14" s="17" t="n">
        <v>2</v>
      </c>
      <c r="C14" s="18">
        <f>ROUND(squat*0.8/roundto,0)*roundto</f>
        <v/>
      </c>
      <c r="D14" s="17" t="inlineStr">
        <is>
          <t>x2</t>
        </is>
      </c>
      <c r="E14" s="8" t="n"/>
    </row>
    <row r="15">
      <c r="A15" s="8" t="n"/>
      <c r="B15" s="17" t="n">
        <v>3</v>
      </c>
      <c r="C15" s="18">
        <f>ROUND(squat*0.8/roundto,0)*roundto</f>
        <v/>
      </c>
      <c r="D15" s="17" t="inlineStr">
        <is>
          <t>x2</t>
        </is>
      </c>
      <c r="E15" s="8" t="n"/>
    </row>
    <row r="16">
      <c r="A16" s="8" t="n"/>
      <c r="B16" s="17" t="n">
        <v>4</v>
      </c>
      <c r="C16" s="18">
        <f>ROUND(squat*0.8/roundto,0)*roundto</f>
        <v/>
      </c>
      <c r="D16" s="17" t="inlineStr">
        <is>
          <t>x2</t>
        </is>
      </c>
      <c r="E16" s="8" t="n"/>
    </row>
    <row r="17">
      <c r="A17" s="8" t="n"/>
      <c r="B17" s="17" t="n">
        <v>5</v>
      </c>
      <c r="C17" s="18">
        <f>ROUND(squat*0.8/roundto,0)*roundto</f>
        <v/>
      </c>
      <c r="D17" s="17" t="inlineStr">
        <is>
          <t>x2</t>
        </is>
      </c>
      <c r="E17" s="8" t="n"/>
    </row>
    <row r="19">
      <c r="A19" s="15" t="inlineStr">
        <is>
          <t>A2 AB WHEEL</t>
        </is>
      </c>
    </row>
    <row r="20">
      <c r="A20" s="8" t="n"/>
      <c r="B20" s="17" t="n">
        <v>1</v>
      </c>
      <c r="C20" s="19" t="inlineStr">
        <is>
          <t>4sets</t>
        </is>
      </c>
      <c r="D20" s="17" t="inlineStr">
        <is>
          <t>x10</t>
        </is>
      </c>
      <c r="E20" s="8" t="n"/>
    </row>
    <row r="22">
      <c r="A22" s="15" t="inlineStr">
        <is>
          <t>A3 Pushup Position Wing</t>
        </is>
      </c>
    </row>
    <row r="23">
      <c r="A23" s="8" t="n"/>
      <c r="B23" s="17" t="n">
        <v>1</v>
      </c>
      <c r="C23" s="19" t="inlineStr">
        <is>
          <t>4sets</t>
        </is>
      </c>
      <c r="D23" s="17" t="inlineStr">
        <is>
          <t>x5ea</t>
        </is>
      </c>
      <c r="E23" s="8" t="n"/>
    </row>
    <row r="25">
      <c r="A25" s="15" t="inlineStr">
        <is>
          <t>B1 DB RFE SQUAT</t>
        </is>
      </c>
    </row>
    <row r="26">
      <c r="A26" s="16" t="inlineStr">
        <is>
          <t>pair 1:30 rest</t>
        </is>
      </c>
    </row>
    <row r="27">
      <c r="A27" s="8" t="n"/>
      <c r="B27" s="17" t="n">
        <v>1</v>
      </c>
      <c r="C27" s="18">
        <f>ROUND(squat*0.26/roundto,0)*roundto</f>
        <v/>
      </c>
      <c r="D27" s="17" t="inlineStr">
        <is>
          <t>x8ea</t>
        </is>
      </c>
      <c r="E27" s="8" t="n"/>
    </row>
    <row r="28">
      <c r="A28" s="8" t="n"/>
      <c r="B28" s="17" t="n">
        <v>2</v>
      </c>
      <c r="C28" s="18">
        <f>ROUND(squat*0.28/roundto,0)*roundto</f>
        <v/>
      </c>
      <c r="D28" s="17" t="inlineStr">
        <is>
          <t>x8</t>
        </is>
      </c>
      <c r="E28" s="8" t="n"/>
    </row>
    <row r="29">
      <c r="A29" s="8" t="n"/>
      <c r="B29" s="17" t="n">
        <v>3</v>
      </c>
      <c r="C29" s="18">
        <f>ROUND(squat*0.3/roundto,0)*roundto</f>
        <v/>
      </c>
      <c r="D29" s="17" t="inlineStr">
        <is>
          <t>x8</t>
        </is>
      </c>
      <c r="E29" s="8" t="n"/>
    </row>
    <row r="31">
      <c r="A31" s="15" t="inlineStr">
        <is>
          <t>B2 PG PULLUP + WT</t>
        </is>
      </c>
    </row>
    <row r="32">
      <c r="A32" s="8" t="n"/>
      <c r="B32" s="17" t="n">
        <v>1</v>
      </c>
      <c r="C32" s="8" t="n"/>
      <c r="D32" s="17" t="inlineStr">
        <is>
          <t>x8</t>
        </is>
      </c>
      <c r="E32" s="8" t="n"/>
    </row>
    <row r="33">
      <c r="A33" s="8" t="n"/>
      <c r="B33" s="17" t="n">
        <v>2</v>
      </c>
      <c r="C33" s="8" t="n"/>
      <c r="D33" s="17" t="inlineStr">
        <is>
          <t>x8</t>
        </is>
      </c>
      <c r="E33" s="8" t="n"/>
    </row>
    <row r="34">
      <c r="A34" s="8" t="n"/>
      <c r="B34" s="17" t="n">
        <v>3</v>
      </c>
      <c r="C34" s="8" t="n"/>
      <c r="D34" s="17" t="inlineStr">
        <is>
          <t>x8</t>
        </is>
      </c>
      <c r="E34" s="8" t="n"/>
    </row>
    <row r="36">
      <c r="A36" s="15" t="inlineStr">
        <is>
          <t>C1 Cable Lift</t>
        </is>
      </c>
    </row>
    <row r="37">
      <c r="A37" s="16" t="inlineStr">
        <is>
          <t>pair 1:30 rest</t>
        </is>
      </c>
    </row>
    <row r="38">
      <c r="A38" s="8" t="n"/>
      <c r="B38" s="17" t="n">
        <v>1</v>
      </c>
      <c r="C38" s="8" t="n"/>
      <c r="D38" s="17" t="inlineStr">
        <is>
          <t>x7ea</t>
        </is>
      </c>
      <c r="E38" s="8" t="n"/>
    </row>
    <row r="39">
      <c r="A39" s="8" t="n"/>
      <c r="B39" s="17" t="n">
        <v>2</v>
      </c>
      <c r="C39" s="8" t="n"/>
      <c r="D39" s="17" t="inlineStr">
        <is>
          <t>x7</t>
        </is>
      </c>
      <c r="E39" s="8" t="n"/>
    </row>
    <row r="41">
      <c r="A41" s="15" t="inlineStr">
        <is>
          <t>C2 Blast Strap Hi-Row + ext. rot</t>
        </is>
      </c>
    </row>
    <row r="42">
      <c r="A42" s="8" t="n"/>
      <c r="B42" s="17" t="n">
        <v>1</v>
      </c>
      <c r="C42" s="8" t="n"/>
      <c r="D42" s="17" t="inlineStr">
        <is>
          <t>x12</t>
        </is>
      </c>
      <c r="E42" s="8" t="n"/>
    </row>
    <row r="43">
      <c r="A43" s="8" t="n"/>
      <c r="B43" s="17" t="n">
        <v>2</v>
      </c>
      <c r="C43" s="8" t="n"/>
      <c r="D43" s="17" t="inlineStr">
        <is>
          <t>x12</t>
        </is>
      </c>
      <c r="E43" s="8" t="n"/>
    </row>
    <row r="45">
      <c r="A45" s="15" t="inlineStr">
        <is>
          <t>C3 Hang Crunch</t>
        </is>
      </c>
    </row>
    <row r="46">
      <c r="A46" s="8" t="n"/>
      <c r="B46" s="17" t="n">
        <v>1</v>
      </c>
      <c r="C46" s="8" t="n"/>
      <c r="D46" s="17" t="inlineStr">
        <is>
          <t>x12</t>
        </is>
      </c>
      <c r="E46" s="8" t="n"/>
    </row>
    <row r="49" ht="18" customHeight="1">
      <c r="A49" s="13" t="inlineStr">
        <is>
          <t>TUESDAY</t>
        </is>
      </c>
      <c r="B49" s="14" t="inlineStr">
        <is>
          <t>SET</t>
        </is>
      </c>
      <c r="C49" s="14" t="inlineStr">
        <is>
          <t>LOAD</t>
        </is>
      </c>
      <c r="D49" s="14" t="inlineStr">
        <is>
          <t>REPS</t>
        </is>
      </c>
      <c r="E49" s="14" t="inlineStr">
        <is>
          <t>DONE</t>
        </is>
      </c>
    </row>
    <row r="50">
      <c r="A50" s="15" t="inlineStr">
        <is>
          <t>HANG CLEAN</t>
        </is>
      </c>
    </row>
    <row r="51">
      <c r="A51" s="16" t="inlineStr">
        <is>
          <t>rest 3:00 min</t>
        </is>
      </c>
    </row>
    <row r="52">
      <c r="A52" s="8" t="n"/>
      <c r="B52" s="17" t="n">
        <v>1</v>
      </c>
      <c r="C52" s="18">
        <f>ROUND(clean*0.7/roundto,0)*roundto</f>
        <v/>
      </c>
      <c r="D52" s="17" t="inlineStr">
        <is>
          <t>x3</t>
        </is>
      </c>
      <c r="E52" s="8" t="n"/>
    </row>
    <row r="53">
      <c r="A53" s="8" t="n"/>
      <c r="B53" s="17" t="n">
        <v>2</v>
      </c>
      <c r="C53" s="18">
        <f>ROUND(clean*0.8/roundto,0)*roundto</f>
        <v/>
      </c>
      <c r="D53" s="17" t="inlineStr">
        <is>
          <t>x3</t>
        </is>
      </c>
      <c r="E53" s="8" t="n"/>
    </row>
    <row r="54">
      <c r="A54" s="8" t="n"/>
      <c r="B54" s="17" t="n">
        <v>3</v>
      </c>
      <c r="C54" s="18">
        <f>ROUND(clean*0.8/roundto,0)*roundto</f>
        <v/>
      </c>
      <c r="D54" s="17" t="inlineStr">
        <is>
          <t>x3</t>
        </is>
      </c>
      <c r="E54" s="8" t="n"/>
    </row>
    <row r="55">
      <c r="A55" s="8" t="n"/>
      <c r="B55" s="17" t="n">
        <v>4</v>
      </c>
      <c r="C55" s="18">
        <f>ROUND(clean*0.8/roundto,0)*roundto</f>
        <v/>
      </c>
      <c r="D55" s="17" t="inlineStr">
        <is>
          <t>x3</t>
        </is>
      </c>
      <c r="E55" s="8" t="n"/>
    </row>
    <row r="57">
      <c r="A57" s="15" t="inlineStr">
        <is>
          <t>A1 BENCH PRESS</t>
        </is>
      </c>
    </row>
    <row r="58">
      <c r="A58" s="16" t="inlineStr">
        <is>
          <t>pair rest 1:30min</t>
        </is>
      </c>
    </row>
    <row r="59">
      <c r="A59" s="8" t="n"/>
      <c r="B59" s="17" t="n">
        <v>1</v>
      </c>
      <c r="C59" s="18">
        <f>ROUND(bench*0.8/roundto,0)*roundto</f>
        <v/>
      </c>
      <c r="D59" s="17" t="inlineStr">
        <is>
          <t>x2</t>
        </is>
      </c>
      <c r="E59" s="8" t="n"/>
    </row>
    <row r="60">
      <c r="A60" s="8" t="n"/>
      <c r="B60" s="17" t="n">
        <v>2</v>
      </c>
      <c r="C60" s="18">
        <f>ROUND(bench*0.8/roundto,0)*roundto</f>
        <v/>
      </c>
      <c r="D60" s="17" t="inlineStr">
        <is>
          <t>x2</t>
        </is>
      </c>
      <c r="E60" s="8" t="n"/>
    </row>
    <row r="61">
      <c r="A61" s="8" t="n"/>
      <c r="B61" s="17" t="n">
        <v>3</v>
      </c>
      <c r="C61" s="18">
        <f>ROUND(bench*0.8/roundto,0)*roundto</f>
        <v/>
      </c>
      <c r="D61" s="17" t="inlineStr">
        <is>
          <t>x2</t>
        </is>
      </c>
      <c r="E61" s="8" t="n"/>
    </row>
    <row r="62">
      <c r="A62" s="8" t="n"/>
      <c r="B62" s="17" t="n">
        <v>4</v>
      </c>
      <c r="C62" s="18">
        <f>ROUND(bench*0.8/roundto,0)*roundto</f>
        <v/>
      </c>
      <c r="D62" s="17" t="inlineStr">
        <is>
          <t>x2</t>
        </is>
      </c>
      <c r="E62" s="8" t="n"/>
    </row>
    <row r="63">
      <c r="A63" s="8" t="n"/>
      <c r="B63" s="17" t="n">
        <v>5</v>
      </c>
      <c r="C63" s="18">
        <f>ROUND(bench*0.8/roundto,0)*roundto</f>
        <v/>
      </c>
      <c r="D63" s="17" t="inlineStr">
        <is>
          <t>x2</t>
        </is>
      </c>
      <c r="E63" s="8" t="n"/>
    </row>
    <row r="65">
      <c r="A65" s="15" t="inlineStr">
        <is>
          <t>A2 GHR + WT</t>
        </is>
      </c>
    </row>
    <row r="66">
      <c r="A66" s="8" t="n"/>
      <c r="B66" s="17" t="n">
        <v>1</v>
      </c>
      <c r="C66" s="8" t="n"/>
      <c r="D66" s="17" t="inlineStr">
        <is>
          <t>x5</t>
        </is>
      </c>
      <c r="E66" s="8" t="n"/>
    </row>
    <row r="67">
      <c r="A67" s="8" t="n"/>
      <c r="B67" s="17" t="n">
        <v>2</v>
      </c>
      <c r="C67" s="8" t="n"/>
      <c r="D67" s="17" t="inlineStr">
        <is>
          <t>x5</t>
        </is>
      </c>
      <c r="E67" s="8" t="n"/>
    </row>
    <row r="68">
      <c r="A68" s="8" t="n"/>
      <c r="B68" s="17" t="n">
        <v>3</v>
      </c>
      <c r="C68" s="8" t="n"/>
      <c r="D68" s="17" t="inlineStr">
        <is>
          <t>x5</t>
        </is>
      </c>
      <c r="E68" s="8" t="n"/>
    </row>
    <row r="70">
      <c r="A70" s="15" t="inlineStr">
        <is>
          <t>B1 thick bar military press</t>
        </is>
      </c>
    </row>
    <row r="71">
      <c r="A71" s="16" t="inlineStr">
        <is>
          <t>pair 1:30 rest</t>
        </is>
      </c>
    </row>
    <row r="72">
      <c r="A72" s="8" t="n"/>
      <c r="B72" s="17" t="n">
        <v>1</v>
      </c>
      <c r="C72" s="18">
        <f>ROUND(bench*0.3575/roundto,0)*roundto</f>
        <v/>
      </c>
      <c r="D72" s="17" t="inlineStr">
        <is>
          <t>x8</t>
        </is>
      </c>
      <c r="E72" s="8" t="n"/>
    </row>
    <row r="73">
      <c r="A73" s="8" t="n"/>
      <c r="B73" s="17" t="n">
        <v>2</v>
      </c>
      <c r="C73" s="18">
        <f>ROUND(bench*0.385/roundto,0)*roundto</f>
        <v/>
      </c>
      <c r="D73" s="17" t="inlineStr">
        <is>
          <t>x8</t>
        </is>
      </c>
      <c r="E73" s="8" t="n"/>
    </row>
    <row r="74">
      <c r="A74" s="8" t="n"/>
      <c r="B74" s="17" t="n">
        <v>3</v>
      </c>
      <c r="C74" s="18">
        <f>ROUND(bench*0.4125/roundto,0)*roundto</f>
        <v/>
      </c>
      <c r="D74" s="17" t="inlineStr">
        <is>
          <t>x8</t>
        </is>
      </c>
      <c r="E74" s="8" t="n"/>
    </row>
    <row r="76">
      <c r="A76" s="15" t="inlineStr">
        <is>
          <t>B2 DB SL RDL</t>
        </is>
      </c>
    </row>
    <row r="77">
      <c r="A77" s="8" t="n"/>
      <c r="B77" s="17" t="n">
        <v>1</v>
      </c>
      <c r="C77" s="18">
        <f>ROUND(clean*0.375/roundto,0)*roundto</f>
        <v/>
      </c>
      <c r="D77" s="17" t="inlineStr">
        <is>
          <t>x4ea</t>
        </is>
      </c>
      <c r="E77" s="8" t="n"/>
    </row>
    <row r="78">
      <c r="A78" s="8" t="n"/>
      <c r="B78" s="17" t="n">
        <v>2</v>
      </c>
      <c r="C78" s="18">
        <f>ROUND(clean*0.4/roundto,0)*roundto</f>
        <v/>
      </c>
      <c r="D78" s="17" t="inlineStr">
        <is>
          <t>x4</t>
        </is>
      </c>
      <c r="E78" s="8" t="n"/>
    </row>
    <row r="79">
      <c r="A79" s="8" t="n"/>
      <c r="B79" s="17" t="n">
        <v>3</v>
      </c>
      <c r="C79" s="18">
        <f>ROUND(clean*0.425/roundto,0)*roundto</f>
        <v/>
      </c>
      <c r="D79" s="17" t="inlineStr">
        <is>
          <t>x4</t>
        </is>
      </c>
      <c r="E79" s="8" t="n"/>
    </row>
    <row r="81">
      <c r="A81" s="15" t="inlineStr">
        <is>
          <t>C1 SL BB DEADLIFT</t>
        </is>
      </c>
    </row>
    <row r="82">
      <c r="A82" s="8" t="n"/>
      <c r="B82" s="17" t="n">
        <v>1</v>
      </c>
      <c r="C82" s="18">
        <f>ROUND(clean*0.35/roundto,0)*roundto</f>
        <v/>
      </c>
      <c r="D82" s="17" t="inlineStr">
        <is>
          <t>x5ea</t>
        </is>
      </c>
      <c r="E82" s="8" t="n"/>
    </row>
    <row r="83">
      <c r="A83" s="8" t="n"/>
      <c r="B83" s="17" t="n">
        <v>2</v>
      </c>
      <c r="C83" s="18">
        <f>ROUND(clean*0.375/roundto,0)*roundto</f>
        <v/>
      </c>
      <c r="D83" s="17" t="inlineStr">
        <is>
          <t>x5</t>
        </is>
      </c>
      <c r="E83" s="8" t="n"/>
    </row>
    <row r="85">
      <c r="A85" s="15" t="inlineStr">
        <is>
          <t>C2 Cable Rope Tricep Extension</t>
        </is>
      </c>
    </row>
    <row r="86">
      <c r="A86" s="8" t="n"/>
      <c r="B86" s="17" t="n">
        <v>1</v>
      </c>
      <c r="C86" s="8" t="n"/>
      <c r="D86" s="17" t="inlineStr">
        <is>
          <t>x10</t>
        </is>
      </c>
      <c r="E86" s="8" t="n"/>
    </row>
    <row r="87">
      <c r="A87" s="8" t="n"/>
      <c r="B87" s="17" t="n">
        <v>2</v>
      </c>
      <c r="C87" s="8" t="n"/>
      <c r="D87" s="17" t="inlineStr">
        <is>
          <t>x10</t>
        </is>
      </c>
      <c r="E87" s="8" t="n"/>
    </row>
    <row r="90" ht="18" customHeight="1">
      <c r="A90" s="13" t="inlineStr">
        <is>
          <t>THURSDAY</t>
        </is>
      </c>
      <c r="B90" s="14" t="inlineStr">
        <is>
          <t>SET</t>
        </is>
      </c>
      <c r="C90" s="14" t="inlineStr">
        <is>
          <t>LOAD</t>
        </is>
      </c>
      <c r="D90" s="14" t="inlineStr">
        <is>
          <t>REPS</t>
        </is>
      </c>
      <c r="E90" s="14" t="inlineStr">
        <is>
          <t>DONE</t>
        </is>
      </c>
    </row>
    <row r="91">
      <c r="A91" s="15" t="inlineStr">
        <is>
          <t>DB SNATCH</t>
        </is>
      </c>
    </row>
    <row r="92">
      <c r="A92" s="16" t="inlineStr">
        <is>
          <t>rest 3:00 min</t>
        </is>
      </c>
    </row>
    <row r="93">
      <c r="A93" s="8" t="n"/>
      <c r="B93" s="17" t="n">
        <v>1</v>
      </c>
      <c r="C93" s="18">
        <f>ROUND(snatch*0.4125/roundto,0)*roundto</f>
        <v/>
      </c>
      <c r="D93" s="17" t="inlineStr">
        <is>
          <t>x2ea</t>
        </is>
      </c>
      <c r="E93" s="8" t="n"/>
    </row>
    <row r="94">
      <c r="A94" s="8" t="n"/>
      <c r="B94" s="17" t="n">
        <v>2</v>
      </c>
      <c r="C94" s="18">
        <f>ROUND(snatch*0.44/roundto,0)*roundto</f>
        <v/>
      </c>
      <c r="D94" s="17" t="inlineStr">
        <is>
          <t>x2</t>
        </is>
      </c>
      <c r="E94" s="8" t="n"/>
    </row>
    <row r="95">
      <c r="A95" s="8" t="n"/>
      <c r="B95" s="17" t="n">
        <v>3</v>
      </c>
      <c r="C95" s="18">
        <f>ROUND(snatch*0.4675/roundto,0)*roundto</f>
        <v/>
      </c>
      <c r="D95" s="17" t="inlineStr">
        <is>
          <t>x2</t>
        </is>
      </c>
      <c r="E95" s="8" t="n"/>
    </row>
    <row r="97">
      <c r="A97" s="15" t="inlineStr">
        <is>
          <t>A1 SQUAT</t>
        </is>
      </c>
    </row>
    <row r="98">
      <c r="A98" s="16" t="inlineStr">
        <is>
          <t>pair 1:30min</t>
        </is>
      </c>
    </row>
    <row r="99">
      <c r="A99" s="8" t="n"/>
      <c r="B99" s="17" t="n">
        <v>1</v>
      </c>
      <c r="C99" s="18">
        <f>ROUND(squat*0.8/roundto,0)*roundto</f>
        <v/>
      </c>
      <c r="D99" s="17" t="inlineStr">
        <is>
          <t>x4</t>
        </is>
      </c>
      <c r="E99" s="8" t="n"/>
    </row>
    <row r="100">
      <c r="A100" s="8" t="n"/>
      <c r="B100" s="17" t="n">
        <v>2</v>
      </c>
      <c r="C100" s="18">
        <f>ROUND(squat*0.8/roundto,0)*roundto</f>
        <v/>
      </c>
      <c r="D100" s="17" t="inlineStr">
        <is>
          <t>x4</t>
        </is>
      </c>
      <c r="E100" s="8" t="n"/>
    </row>
    <row r="101">
      <c r="A101" s="8" t="n"/>
      <c r="B101" s="17" t="n">
        <v>3</v>
      </c>
      <c r="C101" s="18">
        <f>ROUND(squat*0.8/roundto,0)*roundto</f>
        <v/>
      </c>
      <c r="D101" s="17" t="inlineStr">
        <is>
          <t>x4</t>
        </is>
      </c>
      <c r="E101" s="8" t="n"/>
    </row>
    <row r="102">
      <c r="A102" s="8" t="n"/>
      <c r="B102" s="17" t="n">
        <v>4</v>
      </c>
      <c r="C102" s="18">
        <f>ROUND(squat*0.8/roundto,0)*roundto</f>
        <v/>
      </c>
      <c r="D102" s="17" t="inlineStr">
        <is>
          <t>x4</t>
        </is>
      </c>
      <c r="E102" s="8" t="n"/>
    </row>
    <row r="103">
      <c r="A103" s="8" t="n"/>
      <c r="B103" s="17" t="n">
        <v>5</v>
      </c>
      <c r="C103" s="18">
        <f>ROUND(squat*0.8/roundto,0)*roundto</f>
        <v/>
      </c>
      <c r="D103" s="17" t="inlineStr">
        <is>
          <t>x4</t>
        </is>
      </c>
      <c r="E103" s="8" t="n"/>
    </row>
    <row r="105">
      <c r="A105" s="15" t="inlineStr">
        <is>
          <t>A2 DB ROW</t>
        </is>
      </c>
    </row>
    <row r="106">
      <c r="A106" s="8" t="n"/>
      <c r="B106" s="17" t="n">
        <v>1</v>
      </c>
      <c r="C106" s="18">
        <f>ROUND(clean*0.3/roundto,0)*roundto</f>
        <v/>
      </c>
      <c r="D106" s="17" t="inlineStr">
        <is>
          <t>x4ea</t>
        </is>
      </c>
      <c r="E106" s="8" t="n"/>
    </row>
    <row r="107">
      <c r="A107" s="8" t="n"/>
      <c r="B107" s="17" t="n">
        <v>2</v>
      </c>
      <c r="C107" s="18">
        <f>ROUND(clean*0.32/roundto,0)*roundto</f>
        <v/>
      </c>
      <c r="D107" s="17" t="inlineStr">
        <is>
          <t>x4</t>
        </is>
      </c>
      <c r="E107" s="8" t="n"/>
    </row>
    <row r="108">
      <c r="A108" s="8" t="n"/>
      <c r="B108" s="17" t="n">
        <v>3</v>
      </c>
      <c r="C108" s="18">
        <f>ROUND(clean*0.34/roundto,0)*roundto</f>
        <v/>
      </c>
      <c r="D108" s="17" t="inlineStr">
        <is>
          <t>x4</t>
        </is>
      </c>
      <c r="E108" s="8" t="n"/>
    </row>
    <row r="110">
      <c r="A110" s="15" t="inlineStr">
        <is>
          <t>B1 DB REVERSE LUNGE</t>
        </is>
      </c>
    </row>
    <row r="111">
      <c r="A111" s="16" t="inlineStr">
        <is>
          <t>pair 1:30 rest all on right/all on left · (total weight)</t>
        </is>
      </c>
    </row>
    <row r="112">
      <c r="A112" s="8" t="n"/>
      <c r="B112" s="17" t="n">
        <v>1</v>
      </c>
      <c r="C112" s="18">
        <f>ROUND(squat*0.28/roundto,0)*roundto</f>
        <v/>
      </c>
      <c r="D112" s="17" t="inlineStr">
        <is>
          <t>x6ea</t>
        </is>
      </c>
      <c r="E112" s="8" t="n"/>
    </row>
    <row r="113">
      <c r="A113" s="8" t="n"/>
      <c r="B113" s="17" t="n">
        <v>2</v>
      </c>
      <c r="C113" s="18">
        <f>ROUND(squat*0.3/roundto,0)*roundto</f>
        <v/>
      </c>
      <c r="D113" s="17" t="inlineStr">
        <is>
          <t>x6</t>
        </is>
      </c>
      <c r="E113" s="8" t="n"/>
    </row>
    <row r="114">
      <c r="A114" s="8" t="n"/>
      <c r="B114" s="17" t="n">
        <v>3</v>
      </c>
      <c r="C114" s="18">
        <f>ROUND(squat*0.32/roundto,0)*roundto</f>
        <v/>
      </c>
      <c r="D114" s="17" t="inlineStr">
        <is>
          <t>x6</t>
        </is>
      </c>
      <c r="E114" s="8" t="n"/>
    </row>
    <row r="116">
      <c r="A116" s="15" t="inlineStr">
        <is>
          <t>B2 cable chop</t>
        </is>
      </c>
    </row>
    <row r="117">
      <c r="A117" s="8" t="n"/>
      <c r="B117" s="17" t="n">
        <v>1</v>
      </c>
      <c r="C117" s="8" t="n"/>
      <c r="D117" s="17" t="inlineStr">
        <is>
          <t>x7ea</t>
        </is>
      </c>
      <c r="E117" s="8" t="n"/>
    </row>
    <row r="118">
      <c r="A118" s="8" t="n"/>
      <c r="B118" s="17" t="n">
        <v>2</v>
      </c>
      <c r="C118" s="8" t="n"/>
      <c r="D118" s="17" t="inlineStr">
        <is>
          <t>x7</t>
        </is>
      </c>
      <c r="E118" s="8" t="n"/>
    </row>
    <row r="120">
      <c r="A120" s="15" t="inlineStr">
        <is>
          <t>C1 THICK GRIP PG Pullup</t>
        </is>
      </c>
    </row>
    <row r="121">
      <c r="A121" s="16" t="inlineStr">
        <is>
          <t>pair 1:30 rest</t>
        </is>
      </c>
    </row>
    <row r="122">
      <c r="A122" s="8" t="n"/>
      <c r="B122" s="17" t="n">
        <v>1</v>
      </c>
      <c r="C122" s="8" t="n"/>
      <c r="D122" s="17" t="inlineStr">
        <is>
          <t>xmax</t>
        </is>
      </c>
      <c r="E122" s="8" t="n"/>
    </row>
    <row r="123">
      <c r="A123" s="8" t="n"/>
      <c r="B123" s="17" t="n">
        <v>2</v>
      </c>
      <c r="C123" s="8" t="n"/>
      <c r="D123" s="17" t="inlineStr">
        <is>
          <t>xmax</t>
        </is>
      </c>
      <c r="E123" s="8" t="n"/>
    </row>
    <row r="125">
      <c r="A125" s="15" t="inlineStr">
        <is>
          <t>C2 Cable Pushaways</t>
        </is>
      </c>
    </row>
    <row r="126">
      <c r="A126" s="8" t="n"/>
      <c r="B126" s="17" t="n">
        <v>1</v>
      </c>
      <c r="C126" s="8" t="n"/>
      <c r="D126" s="17" t="inlineStr">
        <is>
          <t>x8ea</t>
        </is>
      </c>
      <c r="E126" s="8" t="n"/>
    </row>
    <row r="127">
      <c r="A127" s="8" t="n"/>
      <c r="B127" s="17" t="n">
        <v>2</v>
      </c>
      <c r="C127" s="8" t="n"/>
      <c r="D127" s="17" t="inlineStr">
        <is>
          <t>x8</t>
        </is>
      </c>
      <c r="E127" s="8" t="n"/>
    </row>
    <row r="130" ht="18" customHeight="1">
      <c r="A130" s="13" t="inlineStr">
        <is>
          <t>FRIDAY</t>
        </is>
      </c>
      <c r="B130" s="14" t="inlineStr">
        <is>
          <t>SET</t>
        </is>
      </c>
      <c r="C130" s="14" t="inlineStr">
        <is>
          <t>LOAD</t>
        </is>
      </c>
      <c r="D130" s="14" t="inlineStr">
        <is>
          <t>REPS</t>
        </is>
      </c>
      <c r="E130" s="14" t="inlineStr">
        <is>
          <t>DONE</t>
        </is>
      </c>
    </row>
    <row r="131">
      <c r="A131" s="15" t="inlineStr">
        <is>
          <t>PUSH JERK</t>
        </is>
      </c>
    </row>
    <row r="132">
      <c r="A132" s="16" t="inlineStr">
        <is>
          <t>rest 2:00 min</t>
        </is>
      </c>
    </row>
    <row r="133">
      <c r="A133" s="8" t="n"/>
      <c r="B133" s="17" t="n">
        <v>1</v>
      </c>
      <c r="C133" s="18">
        <f>ROUND(jerk*0.7/roundto,0)*roundto</f>
        <v/>
      </c>
      <c r="D133" s="17" t="inlineStr">
        <is>
          <t>x4</t>
        </is>
      </c>
      <c r="E133" s="8" t="n"/>
    </row>
    <row r="134">
      <c r="A134" s="8" t="n"/>
      <c r="B134" s="17" t="n">
        <v>2</v>
      </c>
      <c r="C134" s="18">
        <f>ROUND(jerk*0.75/roundto,0)*roundto</f>
        <v/>
      </c>
      <c r="D134" s="17" t="inlineStr">
        <is>
          <t>x4</t>
        </is>
      </c>
      <c r="E134" s="8" t="n"/>
    </row>
    <row r="135">
      <c r="A135" s="8" t="n"/>
      <c r="B135" s="17" t="n">
        <v>3</v>
      </c>
      <c r="C135" s="18">
        <f>ROUND(jerk*0.8/roundto,0)*roundto</f>
        <v/>
      </c>
      <c r="D135" s="17" t="inlineStr">
        <is>
          <t>x4</t>
        </is>
      </c>
      <c r="E135" s="8" t="n"/>
    </row>
    <row r="137">
      <c r="A137" s="15" t="inlineStr">
        <is>
          <t>A1 BENCH PRESS</t>
        </is>
      </c>
    </row>
    <row r="138">
      <c r="A138" s="16" t="inlineStr">
        <is>
          <t>pair rest 1:30min</t>
        </is>
      </c>
    </row>
    <row r="139">
      <c r="A139" s="8" t="n"/>
      <c r="B139" s="17" t="n">
        <v>1</v>
      </c>
      <c r="C139" s="18">
        <f>ROUND(bench*0.8/roundto,0)*roundto</f>
        <v/>
      </c>
      <c r="D139" s="17" t="inlineStr">
        <is>
          <t>x4</t>
        </is>
      </c>
      <c r="E139" s="8" t="n"/>
    </row>
    <row r="140">
      <c r="A140" s="8" t="n"/>
      <c r="B140" s="17" t="n">
        <v>2</v>
      </c>
      <c r="C140" s="18">
        <f>ROUND(bench*0.8/roundto,0)*roundto</f>
        <v/>
      </c>
      <c r="D140" s="17" t="inlineStr">
        <is>
          <t>x4</t>
        </is>
      </c>
      <c r="E140" s="8" t="n"/>
    </row>
    <row r="141">
      <c r="A141" s="8" t="n"/>
      <c r="B141" s="17" t="n">
        <v>3</v>
      </c>
      <c r="C141" s="18">
        <f>ROUND(bench*0.8/roundto,0)*roundto</f>
        <v/>
      </c>
      <c r="D141" s="17" t="inlineStr">
        <is>
          <t>x4</t>
        </is>
      </c>
      <c r="E141" s="8" t="n"/>
    </row>
    <row r="142">
      <c r="A142" s="8" t="n"/>
      <c r="B142" s="17" t="n">
        <v>4</v>
      </c>
      <c r="C142" s="18">
        <f>ROUND(bench*0.8/roundto,0)*roundto</f>
        <v/>
      </c>
      <c r="D142" s="17" t="inlineStr">
        <is>
          <t>x4</t>
        </is>
      </c>
      <c r="E142" s="8" t="n"/>
    </row>
    <row r="143">
      <c r="A143" s="8" t="n"/>
      <c r="B143" s="17" t="n">
        <v>5</v>
      </c>
      <c r="C143" s="18">
        <f>ROUND(bench*0.8/roundto,0)*roundto</f>
        <v/>
      </c>
      <c r="D143" s="17" t="inlineStr">
        <is>
          <t>x4</t>
        </is>
      </c>
      <c r="E143" s="8" t="n"/>
    </row>
    <row r="145">
      <c r="A145" s="15" t="inlineStr">
        <is>
          <t>A2 BB CLEAN GRIP DEADLIFT</t>
        </is>
      </c>
    </row>
    <row r="146">
      <c r="A146" s="8" t="n"/>
      <c r="B146" s="17" t="n">
        <v>1</v>
      </c>
      <c r="C146" s="18">
        <f>ROUND(clean*0.9/roundto,0)*roundto</f>
        <v/>
      </c>
      <c r="D146" s="17" t="inlineStr">
        <is>
          <t>x4</t>
        </is>
      </c>
      <c r="E146" s="8" t="n"/>
    </row>
    <row r="147">
      <c r="A147" s="8" t="n"/>
      <c r="B147" s="17" t="n">
        <v>2</v>
      </c>
      <c r="C147" s="18">
        <f>ROUND(clean*0.96/roundto,0)*roundto</f>
        <v/>
      </c>
      <c r="D147" s="17" t="inlineStr">
        <is>
          <t>x4</t>
        </is>
      </c>
      <c r="E147" s="8" t="n"/>
    </row>
    <row r="148">
      <c r="A148" s="8" t="n"/>
      <c r="B148" s="17" t="n">
        <v>3</v>
      </c>
      <c r="C148" s="18">
        <f>ROUND(clean*1.02/roundto,0)*roundto</f>
        <v/>
      </c>
      <c r="D148" s="17" t="inlineStr">
        <is>
          <t>x4</t>
        </is>
      </c>
      <c r="E148" s="8" t="n"/>
    </row>
    <row r="150">
      <c r="A150" s="15" t="inlineStr">
        <is>
          <t>B1 ALT DB LOCKOUT INCLINE PRESS</t>
        </is>
      </c>
    </row>
    <row r="151">
      <c r="A151" s="16" t="inlineStr">
        <is>
          <t>pair 1:30 rest</t>
        </is>
      </c>
    </row>
    <row r="152">
      <c r="A152" s="8" t="n"/>
      <c r="B152" s="17" t="n">
        <v>1</v>
      </c>
      <c r="C152" s="18">
        <f>ROUND(bench*0.2625/roundto,0)*roundto</f>
        <v/>
      </c>
      <c r="D152" s="17" t="inlineStr">
        <is>
          <t>x4ea</t>
        </is>
      </c>
      <c r="E152" s="8" t="n"/>
    </row>
    <row r="153">
      <c r="A153" s="8" t="n"/>
      <c r="B153" s="17" t="n">
        <v>2</v>
      </c>
      <c r="C153" s="18">
        <f>ROUND(bench*0.28/roundto,0)*roundto</f>
        <v/>
      </c>
      <c r="D153" s="17" t="inlineStr">
        <is>
          <t>x4</t>
        </is>
      </c>
      <c r="E153" s="8" t="n"/>
    </row>
    <row r="154">
      <c r="A154" s="8" t="n"/>
      <c r="B154" s="17" t="n">
        <v>3</v>
      </c>
      <c r="C154" s="18">
        <f>ROUND(bench*0.2975/roundto,0)*roundto</f>
        <v/>
      </c>
      <c r="D154" s="17" t="inlineStr">
        <is>
          <t>x4</t>
        </is>
      </c>
      <c r="E154" s="8" t="n"/>
    </row>
    <row r="156">
      <c r="A156" s="15" t="inlineStr">
        <is>
          <t>B2 Russian Curl + DB Wt</t>
        </is>
      </c>
    </row>
    <row r="157">
      <c r="A157" s="8" t="n"/>
      <c r="B157" s="17" t="n">
        <v>1</v>
      </c>
      <c r="C157" s="8" t="n"/>
      <c r="D157" s="17" t="inlineStr">
        <is>
          <t>x6</t>
        </is>
      </c>
      <c r="E157" s="8" t="n"/>
    </row>
    <row r="158">
      <c r="A158" s="8" t="n"/>
      <c r="B158" s="17" t="n">
        <v>2</v>
      </c>
      <c r="C158" s="8" t="n"/>
      <c r="D158" s="17" t="inlineStr">
        <is>
          <t>x6</t>
        </is>
      </c>
      <c r="E158" s="8" t="n"/>
    </row>
    <row r="159">
      <c r="A159" s="8" t="n"/>
      <c r="B159" s="17" t="n">
        <v>3</v>
      </c>
      <c r="C159" s="8" t="n"/>
      <c r="D159" s="17" t="inlineStr">
        <is>
          <t>x6</t>
        </is>
      </c>
      <c r="E159" s="8" t="n"/>
    </row>
    <row r="161">
      <c r="A161" s="15" t="inlineStr">
        <is>
          <t>C1 SB SL LEG CURL</t>
        </is>
      </c>
    </row>
    <row r="162">
      <c r="A162" s="8" t="n"/>
      <c r="B162" s="17" t="n">
        <v>1</v>
      </c>
      <c r="C162" s="8" t="n"/>
      <c r="D162" s="17" t="inlineStr">
        <is>
          <t>x6ea</t>
        </is>
      </c>
      <c r="E162" s="8" t="n"/>
    </row>
    <row r="163">
      <c r="A163" s="8" t="n"/>
      <c r="B163" s="17" t="n">
        <v>2</v>
      </c>
      <c r="C163" s="8" t="n"/>
      <c r="D163" s="17" t="inlineStr">
        <is>
          <t>x6</t>
        </is>
      </c>
      <c r="E163" s="8" t="n"/>
    </row>
    <row r="165">
      <c r="A165" s="15" t="inlineStr">
        <is>
          <t>C2 Blast Strap Rear Delt Flyes</t>
        </is>
      </c>
    </row>
    <row r="166">
      <c r="A166" s="8" t="n"/>
      <c r="B166" s="17" t="n">
        <v>1</v>
      </c>
      <c r="C166" s="8" t="n"/>
      <c r="D166" s="17" t="inlineStr">
        <is>
          <t>x16</t>
        </is>
      </c>
      <c r="E166" s="8" t="n"/>
    </row>
  </sheetData>
  <mergeCells count="14">
    <mergeCell ref="A12:E12"/>
    <mergeCell ref="A26:E26"/>
    <mergeCell ref="A98:E98"/>
    <mergeCell ref="A151:E151"/>
    <mergeCell ref="A71:E71"/>
    <mergeCell ref="A51:E51"/>
    <mergeCell ref="A121:E121"/>
    <mergeCell ref="A138:E138"/>
    <mergeCell ref="A5:E5"/>
    <mergeCell ref="A37:E37"/>
    <mergeCell ref="A132:E132"/>
    <mergeCell ref="A111:E111"/>
    <mergeCell ref="A58:E58"/>
    <mergeCell ref="A92:E92"/>
  </mergeCells>
  <printOptions horizontalCentered="1"/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5" customWidth="1" min="2" max="2"/>
    <col width="12" customWidth="1" min="3" max="3"/>
    <col width="12" customWidth="1" min="4" max="4"/>
    <col width="10" customWidth="1" min="5" max="5"/>
  </cols>
  <sheetData>
    <row r="1" ht="24" customHeight="1">
      <c r="A1" s="11" t="inlineStr">
        <is>
          <t>Week 2</t>
        </is>
      </c>
      <c r="B1" s="1" t="n"/>
      <c r="C1" s="1" t="n"/>
      <c r="D1" s="1" t="n"/>
      <c r="E1" s="12" t="inlineStr">
        <is>
          <t>KNCT</t>
        </is>
      </c>
    </row>
    <row r="3" ht="18" customHeight="1">
      <c r="A3" s="13" t="inlineStr">
        <is>
          <t>MONDAY</t>
        </is>
      </c>
      <c r="B3" s="14" t="inlineStr">
        <is>
          <t>SET</t>
        </is>
      </c>
      <c r="C3" s="14" t="inlineStr">
        <is>
          <t>LOAD</t>
        </is>
      </c>
      <c r="D3" s="14" t="inlineStr">
        <is>
          <t>REPS</t>
        </is>
      </c>
      <c r="E3" s="14" t="inlineStr">
        <is>
          <t>DONE</t>
        </is>
      </c>
    </row>
    <row r="4">
      <c r="A4" s="15" t="inlineStr">
        <is>
          <t>HANG SNATCH</t>
        </is>
      </c>
    </row>
    <row r="5">
      <c r="A5" s="16" t="inlineStr">
        <is>
          <t>rest 3:00 min</t>
        </is>
      </c>
    </row>
    <row r="6">
      <c r="A6" s="8" t="n"/>
      <c r="B6" s="17" t="n">
        <v>1</v>
      </c>
      <c r="C6" s="18">
        <f>ROUND(snatch*0.7/roundto,0)*roundto</f>
        <v/>
      </c>
      <c r="D6" s="17" t="inlineStr">
        <is>
          <t>x3</t>
        </is>
      </c>
      <c r="E6" s="8" t="n"/>
    </row>
    <row r="7">
      <c r="A7" s="8" t="n"/>
      <c r="B7" s="17" t="n">
        <v>2</v>
      </c>
      <c r="C7" s="18">
        <f>ROUND(snatch*0.8/roundto,0)*roundto</f>
        <v/>
      </c>
      <c r="D7" s="17" t="inlineStr">
        <is>
          <t>x3</t>
        </is>
      </c>
      <c r="E7" s="8" t="n"/>
    </row>
    <row r="8">
      <c r="A8" s="8" t="n"/>
      <c r="B8" s="17" t="n">
        <v>3</v>
      </c>
      <c r="C8" s="18">
        <f>ROUND(snatch*0.8/roundto,0)*roundto</f>
        <v/>
      </c>
      <c r="D8" s="17" t="inlineStr">
        <is>
          <t>x3</t>
        </is>
      </c>
      <c r="E8" s="8" t="n"/>
    </row>
    <row r="9">
      <c r="A9" s="8" t="n"/>
      <c r="B9" s="17" t="n">
        <v>4</v>
      </c>
      <c r="C9" s="18">
        <f>ROUND(snatch*0.8/roundto,0)*roundto</f>
        <v/>
      </c>
      <c r="D9" s="17" t="inlineStr">
        <is>
          <t>x3</t>
        </is>
      </c>
      <c r="E9" s="8" t="n"/>
    </row>
    <row r="10">
      <c r="A10" s="8" t="n"/>
      <c r="B10" s="17" t="n">
        <v>5</v>
      </c>
      <c r="C10" s="18">
        <f>ROUND(snatch*0.8/roundto,0)*roundto</f>
        <v/>
      </c>
      <c r="D10" s="17" t="inlineStr">
        <is>
          <t>x3</t>
        </is>
      </c>
      <c r="E10" s="8" t="n"/>
    </row>
    <row r="12">
      <c r="A12" s="15" t="inlineStr">
        <is>
          <t>A1 SQUAT</t>
        </is>
      </c>
    </row>
    <row r="13">
      <c r="A13" s="16" t="inlineStr">
        <is>
          <t>triple rest 1:00min</t>
        </is>
      </c>
    </row>
    <row r="14">
      <c r="A14" s="8" t="n"/>
      <c r="B14" s="17" t="n">
        <v>1</v>
      </c>
      <c r="C14" s="18">
        <f>ROUND(squat*0.8/roundto,0)*roundto</f>
        <v/>
      </c>
      <c r="D14" s="17" t="inlineStr">
        <is>
          <t>x3</t>
        </is>
      </c>
      <c r="E14" s="8" t="n"/>
    </row>
    <row r="15">
      <c r="A15" s="8" t="n"/>
      <c r="B15" s="17" t="n">
        <v>2</v>
      </c>
      <c r="C15" s="18">
        <f>ROUND(squat*0.8/roundto,0)*roundto</f>
        <v/>
      </c>
      <c r="D15" s="17" t="inlineStr">
        <is>
          <t>x3</t>
        </is>
      </c>
      <c r="E15" s="8" t="n"/>
    </row>
    <row r="16">
      <c r="A16" s="8" t="n"/>
      <c r="B16" s="17" t="n">
        <v>3</v>
      </c>
      <c r="C16" s="18">
        <f>ROUND(squat*0.8/roundto,0)*roundto</f>
        <v/>
      </c>
      <c r="D16" s="17" t="inlineStr">
        <is>
          <t>x3</t>
        </is>
      </c>
      <c r="E16" s="8" t="n"/>
    </row>
    <row r="17">
      <c r="A17" s="8" t="n"/>
      <c r="B17" s="17" t="n">
        <v>4</v>
      </c>
      <c r="C17" s="18">
        <f>ROUND(squat*0.8/roundto,0)*roundto</f>
        <v/>
      </c>
      <c r="D17" s="17" t="inlineStr">
        <is>
          <t>x3</t>
        </is>
      </c>
      <c r="E17" s="8" t="n"/>
    </row>
    <row r="18">
      <c r="A18" s="8" t="n"/>
      <c r="B18" s="17" t="n">
        <v>5</v>
      </c>
      <c r="C18" s="18">
        <f>ROUND(squat*0.8/roundto,0)*roundto</f>
        <v/>
      </c>
      <c r="D18" s="17" t="inlineStr">
        <is>
          <t>x3</t>
        </is>
      </c>
      <c r="E18" s="8" t="n"/>
    </row>
    <row r="20">
      <c r="A20" s="15" t="inlineStr">
        <is>
          <t>A2 AB WHEEL</t>
        </is>
      </c>
    </row>
    <row r="21">
      <c r="A21" s="8" t="n"/>
      <c r="B21" s="17" t="n">
        <v>1</v>
      </c>
      <c r="C21" s="19" t="inlineStr">
        <is>
          <t>4sets</t>
        </is>
      </c>
      <c r="D21" s="17" t="inlineStr">
        <is>
          <t>x12</t>
        </is>
      </c>
      <c r="E21" s="8" t="n"/>
    </row>
    <row r="23">
      <c r="A23" s="15" t="inlineStr">
        <is>
          <t>A3 Pushup Position Wing</t>
        </is>
      </c>
    </row>
    <row r="24">
      <c r="A24" s="8" t="n"/>
      <c r="B24" s="17" t="n">
        <v>1</v>
      </c>
      <c r="C24" s="19" t="inlineStr">
        <is>
          <t>4sets</t>
        </is>
      </c>
      <c r="D24" s="17" t="inlineStr">
        <is>
          <t>x5ea</t>
        </is>
      </c>
      <c r="E24" s="8" t="n"/>
    </row>
    <row r="26">
      <c r="A26" s="15" t="inlineStr">
        <is>
          <t>B1 DB RFE SQUAT</t>
        </is>
      </c>
    </row>
    <row r="27">
      <c r="A27" s="16" t="inlineStr">
        <is>
          <t>pair 1:30 rest</t>
        </is>
      </c>
    </row>
    <row r="28">
      <c r="A28" s="8" t="n"/>
      <c r="B28" s="17" t="n">
        <v>1</v>
      </c>
      <c r="C28" s="18">
        <f>ROUND(squat*0.28/roundto,0)*roundto</f>
        <v/>
      </c>
      <c r="D28" s="17" t="inlineStr">
        <is>
          <t>x6ea</t>
        </is>
      </c>
      <c r="E28" s="8" t="n"/>
    </row>
    <row r="29">
      <c r="A29" s="8" t="n"/>
      <c r="B29" s="17" t="n">
        <v>2</v>
      </c>
      <c r="C29" s="18">
        <f>ROUND(squat*0.3/roundto,0)*roundto</f>
        <v/>
      </c>
      <c r="D29" s="17" t="inlineStr">
        <is>
          <t>x6</t>
        </is>
      </c>
      <c r="E29" s="8" t="n"/>
    </row>
    <row r="30">
      <c r="A30" s="8" t="n"/>
      <c r="B30" s="17" t="n">
        <v>3</v>
      </c>
      <c r="C30" s="18">
        <f>ROUND(squat*0.32/roundto,0)*roundto</f>
        <v/>
      </c>
      <c r="D30" s="17" t="inlineStr">
        <is>
          <t>x6</t>
        </is>
      </c>
      <c r="E30" s="8" t="n"/>
    </row>
    <row r="32">
      <c r="A32" s="15" t="inlineStr">
        <is>
          <t>B2 PG PULLUP + WT</t>
        </is>
      </c>
    </row>
    <row r="33">
      <c r="A33" s="8" t="n"/>
      <c r="B33" s="17" t="n">
        <v>1</v>
      </c>
      <c r="C33" s="8" t="n"/>
      <c r="D33" s="17" t="inlineStr">
        <is>
          <t>x6</t>
        </is>
      </c>
      <c r="E33" s="8" t="n"/>
    </row>
    <row r="34">
      <c r="A34" s="8" t="n"/>
      <c r="B34" s="17" t="n">
        <v>2</v>
      </c>
      <c r="C34" s="8" t="n"/>
      <c r="D34" s="17" t="inlineStr">
        <is>
          <t>x6</t>
        </is>
      </c>
      <c r="E34" s="8" t="n"/>
    </row>
    <row r="35">
      <c r="A35" s="8" t="n"/>
      <c r="B35" s="17" t="n">
        <v>3</v>
      </c>
      <c r="C35" s="8" t="n"/>
      <c r="D35" s="17" t="inlineStr">
        <is>
          <t>x6</t>
        </is>
      </c>
      <c r="E35" s="8" t="n"/>
    </row>
    <row r="37">
      <c r="A37" s="15" t="inlineStr">
        <is>
          <t>C1 Cable Lift</t>
        </is>
      </c>
    </row>
    <row r="38">
      <c r="A38" s="16" t="inlineStr">
        <is>
          <t>pair 1:30 rest</t>
        </is>
      </c>
    </row>
    <row r="39">
      <c r="A39" s="8" t="n"/>
      <c r="B39" s="17" t="n">
        <v>1</v>
      </c>
      <c r="C39" s="8" t="n"/>
      <c r="D39" s="17" t="inlineStr">
        <is>
          <t>x6ea</t>
        </is>
      </c>
      <c r="E39" s="8" t="n"/>
    </row>
    <row r="40">
      <c r="A40" s="8" t="n"/>
      <c r="B40" s="17" t="n">
        <v>2</v>
      </c>
      <c r="C40" s="8" t="n"/>
      <c r="D40" s="17" t="inlineStr">
        <is>
          <t>x6</t>
        </is>
      </c>
      <c r="E40" s="8" t="n"/>
    </row>
    <row r="42">
      <c r="A42" s="15" t="inlineStr">
        <is>
          <t>C2 Blast Strap Hi-Row + ext. rot</t>
        </is>
      </c>
    </row>
    <row r="43">
      <c r="A43" s="8" t="n"/>
      <c r="B43" s="17" t="n">
        <v>1</v>
      </c>
      <c r="C43" s="8" t="n"/>
      <c r="D43" s="17" t="inlineStr">
        <is>
          <t>x14</t>
        </is>
      </c>
      <c r="E43" s="8" t="n"/>
    </row>
    <row r="44">
      <c r="A44" s="8" t="n"/>
      <c r="B44" s="17" t="n">
        <v>2</v>
      </c>
      <c r="C44" s="8" t="n"/>
      <c r="D44" s="17" t="inlineStr">
        <is>
          <t>x14</t>
        </is>
      </c>
      <c r="E44" s="8" t="n"/>
    </row>
    <row r="46">
      <c r="A46" s="15" t="inlineStr">
        <is>
          <t>C3 Hang Crunch</t>
        </is>
      </c>
    </row>
    <row r="47">
      <c r="A47" s="8" t="n"/>
      <c r="B47" s="17" t="n">
        <v>1</v>
      </c>
      <c r="C47" s="8" t="n"/>
      <c r="D47" s="17" t="inlineStr">
        <is>
          <t>x15</t>
        </is>
      </c>
      <c r="E47" s="8" t="n"/>
    </row>
    <row r="50" ht="18" customHeight="1">
      <c r="A50" s="13" t="inlineStr">
        <is>
          <t>TUESDAY</t>
        </is>
      </c>
      <c r="B50" s="14" t="inlineStr">
        <is>
          <t>SET</t>
        </is>
      </c>
      <c r="C50" s="14" t="inlineStr">
        <is>
          <t>LOAD</t>
        </is>
      </c>
      <c r="D50" s="14" t="inlineStr">
        <is>
          <t>REPS</t>
        </is>
      </c>
      <c r="E50" s="14" t="inlineStr">
        <is>
          <t>DONE</t>
        </is>
      </c>
    </row>
    <row r="51">
      <c r="A51" s="15" t="inlineStr">
        <is>
          <t>HANG CLEAN</t>
        </is>
      </c>
    </row>
    <row r="52">
      <c r="A52" s="16" t="inlineStr">
        <is>
          <t>rest 3:00 min</t>
        </is>
      </c>
    </row>
    <row r="53">
      <c r="A53" s="8" t="n"/>
      <c r="B53" s="17" t="n">
        <v>1</v>
      </c>
      <c r="C53" s="18">
        <f>ROUND(clean*0.75/roundto,0)*roundto</f>
        <v/>
      </c>
      <c r="D53" s="17" t="inlineStr">
        <is>
          <t>x2</t>
        </is>
      </c>
      <c r="E53" s="8" t="n"/>
    </row>
    <row r="54">
      <c r="A54" s="8" t="n"/>
      <c r="B54" s="17" t="n">
        <v>2</v>
      </c>
      <c r="C54" s="18">
        <f>ROUND(clean*0.85/roundto,0)*roundto</f>
        <v/>
      </c>
      <c r="D54" s="17" t="inlineStr">
        <is>
          <t>x2</t>
        </is>
      </c>
      <c r="E54" s="8" t="n"/>
    </row>
    <row r="55">
      <c r="A55" s="8" t="n"/>
      <c r="B55" s="17" t="n">
        <v>3</v>
      </c>
      <c r="C55" s="18">
        <f>ROUND(clean*0.85/roundto,0)*roundto</f>
        <v/>
      </c>
      <c r="D55" s="17" t="inlineStr">
        <is>
          <t>x2</t>
        </is>
      </c>
      <c r="E55" s="8" t="n"/>
    </row>
    <row r="56">
      <c r="A56" s="8" t="n"/>
      <c r="B56" s="17" t="n">
        <v>4</v>
      </c>
      <c r="C56" s="18">
        <f>ROUND(clean*0.85/roundto,0)*roundto</f>
        <v/>
      </c>
      <c r="D56" s="17" t="inlineStr">
        <is>
          <t>x2</t>
        </is>
      </c>
      <c r="E56" s="8" t="n"/>
    </row>
    <row r="57">
      <c r="A57" s="8" t="n"/>
      <c r="B57" s="17" t="n">
        <v>5</v>
      </c>
      <c r="C57" s="18">
        <f>ROUND(clean*0.85/roundto,0)*roundto</f>
        <v/>
      </c>
      <c r="D57" s="17" t="inlineStr">
        <is>
          <t>x2</t>
        </is>
      </c>
      <c r="E57" s="8" t="n"/>
    </row>
    <row r="59">
      <c r="A59" s="15" t="inlineStr">
        <is>
          <t>A1 BENCH PRESS</t>
        </is>
      </c>
    </row>
    <row r="60">
      <c r="A60" s="16" t="inlineStr">
        <is>
          <t>pair rest 1:30min</t>
        </is>
      </c>
    </row>
    <row r="61">
      <c r="A61" s="8" t="n"/>
      <c r="B61" s="17" t="n">
        <v>1</v>
      </c>
      <c r="C61" s="18">
        <f>ROUND(bench*0.8/roundto,0)*roundto</f>
        <v/>
      </c>
      <c r="D61" s="17" t="inlineStr">
        <is>
          <t>x3</t>
        </is>
      </c>
      <c r="E61" s="8" t="n"/>
    </row>
    <row r="62">
      <c r="A62" s="8" t="n"/>
      <c r="B62" s="17" t="n">
        <v>2</v>
      </c>
      <c r="C62" s="18">
        <f>ROUND(bench*0.8/roundto,0)*roundto</f>
        <v/>
      </c>
      <c r="D62" s="17" t="inlineStr">
        <is>
          <t>x3</t>
        </is>
      </c>
      <c r="E62" s="8" t="n"/>
    </row>
    <row r="63">
      <c r="A63" s="8" t="n"/>
      <c r="B63" s="17" t="n">
        <v>3</v>
      </c>
      <c r="C63" s="18">
        <f>ROUND(bench*0.8/roundto,0)*roundto</f>
        <v/>
      </c>
      <c r="D63" s="17" t="inlineStr">
        <is>
          <t>x3</t>
        </is>
      </c>
      <c r="E63" s="8" t="n"/>
    </row>
    <row r="64">
      <c r="A64" s="8" t="n"/>
      <c r="B64" s="17" t="n">
        <v>4</v>
      </c>
      <c r="C64" s="18">
        <f>ROUND(bench*0.8/roundto,0)*roundto</f>
        <v/>
      </c>
      <c r="D64" s="17" t="inlineStr">
        <is>
          <t>x3</t>
        </is>
      </c>
      <c r="E64" s="8" t="n"/>
    </row>
    <row r="65">
      <c r="A65" s="8" t="n"/>
      <c r="B65" s="17" t="n">
        <v>5</v>
      </c>
      <c r="C65" s="18">
        <f>ROUND(bench*0.8/roundto,0)*roundto</f>
        <v/>
      </c>
      <c r="D65" s="17" t="inlineStr">
        <is>
          <t>x3</t>
        </is>
      </c>
      <c r="E65" s="8" t="n"/>
    </row>
    <row r="67">
      <c r="A67" s="15" t="inlineStr">
        <is>
          <t>A2 GHR + WT</t>
        </is>
      </c>
    </row>
    <row r="68">
      <c r="A68" s="8" t="n"/>
      <c r="B68" s="17" t="n">
        <v>1</v>
      </c>
      <c r="C68" s="8" t="n"/>
      <c r="D68" s="17" t="inlineStr">
        <is>
          <t>x5</t>
        </is>
      </c>
      <c r="E68" s="8" t="n"/>
    </row>
    <row r="69">
      <c r="A69" s="8" t="n"/>
      <c r="B69" s="17" t="n">
        <v>2</v>
      </c>
      <c r="C69" s="8" t="n"/>
      <c r="D69" s="17" t="inlineStr">
        <is>
          <t>x5</t>
        </is>
      </c>
      <c r="E69" s="8" t="n"/>
    </row>
    <row r="70">
      <c r="A70" s="8" t="n"/>
      <c r="B70" s="17" t="n">
        <v>3</v>
      </c>
      <c r="C70" s="8" t="n"/>
      <c r="D70" s="17" t="inlineStr">
        <is>
          <t>x5</t>
        </is>
      </c>
      <c r="E70" s="8" t="n"/>
    </row>
    <row r="72">
      <c r="A72" s="15" t="inlineStr">
        <is>
          <t>B1 thick bar military press</t>
        </is>
      </c>
    </row>
    <row r="73">
      <c r="A73" s="16" t="inlineStr">
        <is>
          <t>pair 1:30 rest</t>
        </is>
      </c>
    </row>
    <row r="74">
      <c r="A74" s="8" t="n"/>
      <c r="B74" s="17" t="n">
        <v>1</v>
      </c>
      <c r="C74" s="18">
        <f>ROUND(bench*0.385/roundto,0)*roundto</f>
        <v/>
      </c>
      <c r="D74" s="17" t="inlineStr">
        <is>
          <t>x6</t>
        </is>
      </c>
      <c r="E74" s="8" t="n"/>
    </row>
    <row r="75">
      <c r="A75" s="8" t="n"/>
      <c r="B75" s="17" t="n">
        <v>2</v>
      </c>
      <c r="C75" s="18">
        <f>ROUND(bench*0.4125/roundto,0)*roundto</f>
        <v/>
      </c>
      <c r="D75" s="17" t="inlineStr">
        <is>
          <t>x6</t>
        </is>
      </c>
      <c r="E75" s="8" t="n"/>
    </row>
    <row r="76">
      <c r="A76" s="8" t="n"/>
      <c r="B76" s="17" t="n">
        <v>3</v>
      </c>
      <c r="C76" s="18">
        <f>ROUND(bench*0.44/roundto,0)*roundto</f>
        <v/>
      </c>
      <c r="D76" s="17" t="inlineStr">
        <is>
          <t>x6</t>
        </is>
      </c>
      <c r="E76" s="8" t="n"/>
    </row>
    <row r="78">
      <c r="A78" s="15" t="inlineStr">
        <is>
          <t>B2 DB SL RDL</t>
        </is>
      </c>
    </row>
    <row r="79">
      <c r="A79" s="8" t="n"/>
      <c r="B79" s="17" t="n">
        <v>1</v>
      </c>
      <c r="C79" s="18">
        <f>ROUND(clean*0.39/roundto,0)*roundto</f>
        <v/>
      </c>
      <c r="D79" s="17" t="inlineStr">
        <is>
          <t>x4ea</t>
        </is>
      </c>
      <c r="E79" s="8" t="n"/>
    </row>
    <row r="80">
      <c r="A80" s="8" t="n"/>
      <c r="B80" s="17" t="n">
        <v>2</v>
      </c>
      <c r="C80" s="18">
        <f>ROUND(clean*0.415/roundto,0)*roundto</f>
        <v/>
      </c>
      <c r="D80" s="17" t="inlineStr">
        <is>
          <t>x4</t>
        </is>
      </c>
      <c r="E80" s="8" t="n"/>
    </row>
    <row r="81">
      <c r="A81" s="8" t="n"/>
      <c r="B81" s="17" t="n">
        <v>3</v>
      </c>
      <c r="C81" s="18">
        <f>ROUND(clean*0.44/roundto,0)*roundto</f>
        <v/>
      </c>
      <c r="D81" s="17" t="inlineStr">
        <is>
          <t>x4</t>
        </is>
      </c>
      <c r="E81" s="8" t="n"/>
    </row>
    <row r="83">
      <c r="A83" s="15" t="inlineStr">
        <is>
          <t>C1 SL BB DEADLIFT</t>
        </is>
      </c>
    </row>
    <row r="84">
      <c r="A84" s="8" t="n"/>
      <c r="B84" s="17" t="n">
        <v>1</v>
      </c>
      <c r="C84" s="18">
        <f>ROUND(clean*0.375/roundto,0)*roundto</f>
        <v/>
      </c>
      <c r="D84" s="17" t="inlineStr">
        <is>
          <t>x5ea</t>
        </is>
      </c>
      <c r="E84" s="8" t="n"/>
    </row>
    <row r="85">
      <c r="A85" s="8" t="n"/>
      <c r="B85" s="17" t="n">
        <v>2</v>
      </c>
      <c r="C85" s="18">
        <f>ROUND(clean*0.4/roundto,0)*roundto</f>
        <v/>
      </c>
      <c r="D85" s="17" t="inlineStr">
        <is>
          <t>x5</t>
        </is>
      </c>
      <c r="E85" s="8" t="n"/>
    </row>
    <row r="87">
      <c r="A87" s="15" t="inlineStr">
        <is>
          <t>C2 Cable Rope Tricep Extension</t>
        </is>
      </c>
    </row>
    <row r="88">
      <c r="A88" s="8" t="n"/>
      <c r="B88" s="17" t="n">
        <v>1</v>
      </c>
      <c r="C88" s="8" t="n"/>
      <c r="D88" s="17" t="inlineStr">
        <is>
          <t>x10</t>
        </is>
      </c>
      <c r="E88" s="8" t="n"/>
    </row>
    <row r="89">
      <c r="A89" s="8" t="n"/>
      <c r="B89" s="17" t="n">
        <v>2</v>
      </c>
      <c r="C89" s="8" t="n"/>
      <c r="D89" s="17" t="inlineStr">
        <is>
          <t>x10</t>
        </is>
      </c>
      <c r="E89" s="8" t="n"/>
    </row>
    <row r="92" ht="18" customHeight="1">
      <c r="A92" s="13" t="inlineStr">
        <is>
          <t>THURSDAY</t>
        </is>
      </c>
      <c r="B92" s="14" t="inlineStr">
        <is>
          <t>SET</t>
        </is>
      </c>
      <c r="C92" s="14" t="inlineStr">
        <is>
          <t>LOAD</t>
        </is>
      </c>
      <c r="D92" s="14" t="inlineStr">
        <is>
          <t>REPS</t>
        </is>
      </c>
      <c r="E92" s="14" t="inlineStr">
        <is>
          <t>DONE</t>
        </is>
      </c>
    </row>
    <row r="93">
      <c r="A93" s="15" t="inlineStr">
        <is>
          <t>DB SNATCH</t>
        </is>
      </c>
    </row>
    <row r="94">
      <c r="A94" s="16" t="inlineStr">
        <is>
          <t>rest 3:00 min</t>
        </is>
      </c>
    </row>
    <row r="95">
      <c r="A95" s="8" t="n"/>
      <c r="B95" s="17" t="n">
        <v>1</v>
      </c>
      <c r="C95" s="18">
        <f>ROUND(snatch*0.44/roundto,0)*roundto</f>
        <v/>
      </c>
      <c r="D95" s="17" t="inlineStr">
        <is>
          <t>x2ea</t>
        </is>
      </c>
      <c r="E95" s="8" t="n"/>
    </row>
    <row r="96">
      <c r="A96" s="8" t="n"/>
      <c r="B96" s="17" t="n">
        <v>2</v>
      </c>
      <c r="C96" s="18">
        <f>ROUND(snatch*0.4675/roundto,0)*roundto</f>
        <v/>
      </c>
      <c r="D96" s="17" t="inlineStr">
        <is>
          <t>x2</t>
        </is>
      </c>
      <c r="E96" s="8" t="n"/>
    </row>
    <row r="97">
      <c r="A97" s="8" t="n"/>
      <c r="B97" s="17" t="n">
        <v>3</v>
      </c>
      <c r="C97" s="18">
        <f>ROUND(snatch*0.495/roundto,0)*roundto</f>
        <v/>
      </c>
      <c r="D97" s="17" t="inlineStr">
        <is>
          <t>x2</t>
        </is>
      </c>
      <c r="E97" s="8" t="n"/>
    </row>
    <row r="99">
      <c r="A99" s="15" t="inlineStr">
        <is>
          <t>A1 SQUAT</t>
        </is>
      </c>
    </row>
    <row r="100">
      <c r="A100" s="16" t="inlineStr">
        <is>
          <t>pair 1:30min</t>
        </is>
      </c>
    </row>
    <row r="101">
      <c r="A101" s="8" t="n"/>
      <c r="B101" s="17" t="n">
        <v>1</v>
      </c>
      <c r="C101" s="18">
        <f>ROUND(squat*0.8/roundto,0)*roundto</f>
        <v/>
      </c>
      <c r="D101" s="17" t="inlineStr">
        <is>
          <t>x5</t>
        </is>
      </c>
      <c r="E101" s="8" t="n"/>
    </row>
    <row r="102">
      <c r="A102" s="8" t="n"/>
      <c r="B102" s="17" t="n">
        <v>2</v>
      </c>
      <c r="C102" s="18">
        <f>ROUND(squat*0.8/roundto,0)*roundto</f>
        <v/>
      </c>
      <c r="D102" s="17" t="inlineStr">
        <is>
          <t>x5</t>
        </is>
      </c>
      <c r="E102" s="8" t="n"/>
    </row>
    <row r="103">
      <c r="A103" s="8" t="n"/>
      <c r="B103" s="17" t="n">
        <v>3</v>
      </c>
      <c r="C103" s="18">
        <f>ROUND(squat*0.8/roundto,0)*roundto</f>
        <v/>
      </c>
      <c r="D103" s="17" t="inlineStr">
        <is>
          <t>x5</t>
        </is>
      </c>
      <c r="E103" s="8" t="n"/>
    </row>
    <row r="104">
      <c r="A104" s="8" t="n"/>
      <c r="B104" s="17" t="n">
        <v>4</v>
      </c>
      <c r="C104" s="18">
        <f>ROUND(squat*0.8/roundto,0)*roundto</f>
        <v/>
      </c>
      <c r="D104" s="17" t="inlineStr">
        <is>
          <t>x5</t>
        </is>
      </c>
      <c r="E104" s="8" t="n"/>
    </row>
    <row r="105">
      <c r="A105" s="8" t="n"/>
      <c r="B105" s="17" t="n">
        <v>5</v>
      </c>
      <c r="C105" s="18">
        <f>ROUND(squat*0.8/roundto,0)*roundto</f>
        <v/>
      </c>
      <c r="D105" s="17" t="inlineStr">
        <is>
          <t>x5</t>
        </is>
      </c>
      <c r="E105" s="8" t="n"/>
    </row>
    <row r="107">
      <c r="A107" s="15" t="inlineStr">
        <is>
          <t>A2 DB ROW</t>
        </is>
      </c>
    </row>
    <row r="108">
      <c r="A108" s="8" t="n"/>
      <c r="B108" s="17" t="n">
        <v>1</v>
      </c>
      <c r="C108" s="18">
        <f>ROUND(clean*0.312/roundto,0)*roundto</f>
        <v/>
      </c>
      <c r="D108" s="17" t="inlineStr">
        <is>
          <t>x4ea</t>
        </is>
      </c>
      <c r="E108" s="8" t="n"/>
    </row>
    <row r="109">
      <c r="A109" s="8" t="n"/>
      <c r="B109" s="17" t="n">
        <v>2</v>
      </c>
      <c r="C109" s="18">
        <f>ROUND(clean*0.332/roundto,0)*roundto</f>
        <v/>
      </c>
      <c r="D109" s="17" t="inlineStr">
        <is>
          <t>x4</t>
        </is>
      </c>
      <c r="E109" s="8" t="n"/>
    </row>
    <row r="110">
      <c r="A110" s="8" t="n"/>
      <c r="B110" s="17" t="n">
        <v>3</v>
      </c>
      <c r="C110" s="18">
        <f>ROUND(clean*0.352/roundto,0)*roundto</f>
        <v/>
      </c>
      <c r="D110" s="17" t="inlineStr">
        <is>
          <t>x4</t>
        </is>
      </c>
      <c r="E110" s="8" t="n"/>
    </row>
    <row r="112">
      <c r="A112" s="15" t="inlineStr">
        <is>
          <t>B1 DB REVERSE LUNGE</t>
        </is>
      </c>
    </row>
    <row r="113">
      <c r="A113" s="16" t="inlineStr">
        <is>
          <t>pair 1:30 rest all on right/all on left · (total weight)</t>
        </is>
      </c>
    </row>
    <row r="114">
      <c r="A114" s="8" t="n"/>
      <c r="B114" s="17" t="n">
        <v>1</v>
      </c>
      <c r="C114" s="18">
        <f>ROUND(squat*0.3/roundto,0)*roundto</f>
        <v/>
      </c>
      <c r="D114" s="17" t="inlineStr">
        <is>
          <t>x4ea</t>
        </is>
      </c>
      <c r="E114" s="8" t="n"/>
    </row>
    <row r="115">
      <c r="A115" s="8" t="n"/>
      <c r="B115" s="17" t="n">
        <v>2</v>
      </c>
      <c r="C115" s="18">
        <f>ROUND(squat*0.32/roundto,0)*roundto</f>
        <v/>
      </c>
      <c r="D115" s="17" t="inlineStr">
        <is>
          <t>x4</t>
        </is>
      </c>
      <c r="E115" s="8" t="n"/>
    </row>
    <row r="116">
      <c r="A116" s="8" t="n"/>
      <c r="B116" s="17" t="n">
        <v>3</v>
      </c>
      <c r="C116" s="18">
        <f>ROUND(squat*0.34/roundto,0)*roundto</f>
        <v/>
      </c>
      <c r="D116" s="17" t="inlineStr">
        <is>
          <t>x4</t>
        </is>
      </c>
      <c r="E116" s="8" t="n"/>
    </row>
    <row r="118">
      <c r="A118" s="15" t="inlineStr">
        <is>
          <t>B2 cable chop</t>
        </is>
      </c>
    </row>
    <row r="119">
      <c r="A119" s="8" t="n"/>
      <c r="B119" s="17" t="n">
        <v>1</v>
      </c>
      <c r="C119" s="8" t="n"/>
      <c r="D119" s="17" t="inlineStr">
        <is>
          <t>x6ea</t>
        </is>
      </c>
      <c r="E119" s="8" t="n"/>
    </row>
    <row r="120">
      <c r="A120" s="8" t="n"/>
      <c r="B120" s="17" t="n">
        <v>2</v>
      </c>
      <c r="C120" s="8" t="n"/>
      <c r="D120" s="17" t="inlineStr">
        <is>
          <t>x6</t>
        </is>
      </c>
      <c r="E120" s="8" t="n"/>
    </row>
    <row r="122">
      <c r="A122" s="15" t="inlineStr">
        <is>
          <t>C1 THICK GRIP PG Pullup</t>
        </is>
      </c>
    </row>
    <row r="123">
      <c r="A123" s="16" t="inlineStr">
        <is>
          <t>pair 1:30 rest</t>
        </is>
      </c>
    </row>
    <row r="124">
      <c r="A124" s="8" t="n"/>
      <c r="B124" s="17" t="n">
        <v>1</v>
      </c>
      <c r="C124" s="8" t="n"/>
      <c r="D124" s="17" t="inlineStr">
        <is>
          <t>xmax</t>
        </is>
      </c>
      <c r="E124" s="8" t="n"/>
    </row>
    <row r="125">
      <c r="A125" s="8" t="n"/>
      <c r="B125" s="17" t="n">
        <v>2</v>
      </c>
      <c r="C125" s="8" t="n"/>
      <c r="D125" s="17" t="inlineStr">
        <is>
          <t>xmax</t>
        </is>
      </c>
      <c r="E125" s="8" t="n"/>
    </row>
    <row r="127">
      <c r="A127" s="15" t="inlineStr">
        <is>
          <t>C2 Cable Pushaways</t>
        </is>
      </c>
    </row>
    <row r="128">
      <c r="A128" s="8" t="n"/>
      <c r="B128" s="17" t="n">
        <v>1</v>
      </c>
      <c r="C128" s="8" t="n"/>
      <c r="D128" s="17" t="inlineStr">
        <is>
          <t>x6ea</t>
        </is>
      </c>
      <c r="E128" s="8" t="n"/>
    </row>
    <row r="129">
      <c r="A129" s="8" t="n"/>
      <c r="B129" s="17" t="n">
        <v>2</v>
      </c>
      <c r="C129" s="8" t="n"/>
      <c r="D129" s="17" t="inlineStr">
        <is>
          <t>x6</t>
        </is>
      </c>
      <c r="E129" s="8" t="n"/>
    </row>
    <row r="132" ht="18" customHeight="1">
      <c r="A132" s="13" t="inlineStr">
        <is>
          <t>FRIDAY</t>
        </is>
      </c>
      <c r="B132" s="14" t="inlineStr">
        <is>
          <t>SET</t>
        </is>
      </c>
      <c r="C132" s="14" t="inlineStr">
        <is>
          <t>LOAD</t>
        </is>
      </c>
      <c r="D132" s="14" t="inlineStr">
        <is>
          <t>REPS</t>
        </is>
      </c>
      <c r="E132" s="14" t="inlineStr">
        <is>
          <t>DONE</t>
        </is>
      </c>
    </row>
    <row r="133">
      <c r="A133" s="15" t="inlineStr">
        <is>
          <t>PUSH JERK</t>
        </is>
      </c>
    </row>
    <row r="134">
      <c r="A134" s="16" t="inlineStr">
        <is>
          <t>rest 2:00 min</t>
        </is>
      </c>
    </row>
    <row r="135">
      <c r="A135" s="8" t="n"/>
      <c r="B135" s="17" t="n">
        <v>1</v>
      </c>
      <c r="C135" s="18">
        <f>ROUND(jerk*0.8/roundto,0)*roundto</f>
        <v/>
      </c>
      <c r="D135" s="17" t="inlineStr">
        <is>
          <t>x2</t>
        </is>
      </c>
      <c r="E135" s="8" t="n"/>
    </row>
    <row r="136">
      <c r="A136" s="8" t="n"/>
      <c r="B136" s="17" t="n">
        <v>2</v>
      </c>
      <c r="C136" s="18">
        <f>ROUND(jerk*0.85/roundto,0)*roundto</f>
        <v/>
      </c>
      <c r="D136" s="17" t="inlineStr">
        <is>
          <t>x2</t>
        </is>
      </c>
      <c r="E136" s="8" t="n"/>
    </row>
    <row r="137">
      <c r="A137" s="8" t="n"/>
      <c r="B137" s="17" t="n">
        <v>3</v>
      </c>
      <c r="C137" s="18">
        <f>ROUND(jerk*0.9/roundto,0)*roundto</f>
        <v/>
      </c>
      <c r="D137" s="17" t="inlineStr">
        <is>
          <t>x2</t>
        </is>
      </c>
      <c r="E137" s="8" t="n"/>
    </row>
    <row r="139">
      <c r="A139" s="15" t="inlineStr">
        <is>
          <t>A1 BENCH PRESS</t>
        </is>
      </c>
    </row>
    <row r="140">
      <c r="A140" s="16" t="inlineStr">
        <is>
          <t>pair rest 1:30min</t>
        </is>
      </c>
    </row>
    <row r="141">
      <c r="A141" s="8" t="n"/>
      <c r="B141" s="17" t="n">
        <v>1</v>
      </c>
      <c r="C141" s="18">
        <f>ROUND(bench*0.8/roundto,0)*roundto</f>
        <v/>
      </c>
      <c r="D141" s="17" t="inlineStr">
        <is>
          <t>x5</t>
        </is>
      </c>
      <c r="E141" s="8" t="n"/>
    </row>
    <row r="142">
      <c r="A142" s="8" t="n"/>
      <c r="B142" s="17" t="n">
        <v>2</v>
      </c>
      <c r="C142" s="18">
        <f>ROUND(bench*0.8/roundto,0)*roundto</f>
        <v/>
      </c>
      <c r="D142" s="17" t="inlineStr">
        <is>
          <t>x5</t>
        </is>
      </c>
      <c r="E142" s="8" t="n"/>
    </row>
    <row r="143">
      <c r="A143" s="8" t="n"/>
      <c r="B143" s="17" t="n">
        <v>3</v>
      </c>
      <c r="C143" s="18">
        <f>ROUND(bench*0.8/roundto,0)*roundto</f>
        <v/>
      </c>
      <c r="D143" s="17" t="inlineStr">
        <is>
          <t>x5</t>
        </is>
      </c>
      <c r="E143" s="8" t="n"/>
    </row>
    <row r="144">
      <c r="A144" s="8" t="n"/>
      <c r="B144" s="17" t="n">
        <v>4</v>
      </c>
      <c r="C144" s="18">
        <f>ROUND(bench*0.8/roundto,0)*roundto</f>
        <v/>
      </c>
      <c r="D144" s="17" t="inlineStr">
        <is>
          <t>x5</t>
        </is>
      </c>
      <c r="E144" s="8" t="n"/>
    </row>
    <row r="145">
      <c r="A145" s="8" t="n"/>
      <c r="B145" s="17" t="n">
        <v>5</v>
      </c>
      <c r="C145" s="18">
        <f>ROUND(bench*0.8/roundto,0)*roundto</f>
        <v/>
      </c>
      <c r="D145" s="17" t="inlineStr">
        <is>
          <t>x5</t>
        </is>
      </c>
      <c r="E145" s="8" t="n"/>
    </row>
    <row r="147">
      <c r="A147" s="15" t="inlineStr">
        <is>
          <t>A2 BB CLEAN GRIP DEADLIFT</t>
        </is>
      </c>
    </row>
    <row r="148">
      <c r="A148" s="8" t="n"/>
      <c r="B148" s="17" t="n">
        <v>1</v>
      </c>
      <c r="C148" s="18">
        <f>ROUND(clean*0.936/roundto,0)*roundto</f>
        <v/>
      </c>
      <c r="D148" s="17" t="inlineStr">
        <is>
          <t>x4</t>
        </is>
      </c>
      <c r="E148" s="8" t="n"/>
    </row>
    <row r="149">
      <c r="A149" s="8" t="n"/>
      <c r="B149" s="17" t="n">
        <v>2</v>
      </c>
      <c r="C149" s="18">
        <f>ROUND(clean*0.996/roundto,0)*roundto</f>
        <v/>
      </c>
      <c r="D149" s="17" t="inlineStr">
        <is>
          <t>x4</t>
        </is>
      </c>
      <c r="E149" s="8" t="n"/>
    </row>
    <row r="150">
      <c r="A150" s="8" t="n"/>
      <c r="B150" s="17" t="n">
        <v>3</v>
      </c>
      <c r="C150" s="18">
        <f>ROUND(clean*1.056/roundto,0)*roundto</f>
        <v/>
      </c>
      <c r="D150" s="17" t="inlineStr">
        <is>
          <t>x4</t>
        </is>
      </c>
      <c r="E150" s="8" t="n"/>
    </row>
    <row r="152">
      <c r="A152" s="15" t="inlineStr">
        <is>
          <t>B1 ALT DB LOCKOUT INCLINE PRESS</t>
        </is>
      </c>
    </row>
    <row r="153">
      <c r="A153" s="16" t="inlineStr">
        <is>
          <t>pair 1:30 rest</t>
        </is>
      </c>
    </row>
    <row r="154">
      <c r="A154" s="8" t="n"/>
      <c r="B154" s="17" t="n">
        <v>1</v>
      </c>
      <c r="C154" s="18">
        <f>ROUND(bench*0.273/roundto,0)*roundto</f>
        <v/>
      </c>
      <c r="D154" s="17" t="inlineStr">
        <is>
          <t>x4ea</t>
        </is>
      </c>
      <c r="E154" s="8" t="n"/>
    </row>
    <row r="155">
      <c r="A155" s="8" t="n"/>
      <c r="B155" s="17" t="n">
        <v>2</v>
      </c>
      <c r="C155" s="18">
        <f>ROUND(bench*0.2905/roundto,0)*roundto</f>
        <v/>
      </c>
      <c r="D155" s="17" t="inlineStr">
        <is>
          <t>x4</t>
        </is>
      </c>
      <c r="E155" s="8" t="n"/>
    </row>
    <row r="156">
      <c r="A156" s="8" t="n"/>
      <c r="B156" s="17" t="n">
        <v>3</v>
      </c>
      <c r="C156" s="18">
        <f>ROUND(bench*0.308/roundto,0)*roundto</f>
        <v/>
      </c>
      <c r="D156" s="17" t="inlineStr">
        <is>
          <t>x4</t>
        </is>
      </c>
      <c r="E156" s="8" t="n"/>
    </row>
    <row r="158">
      <c r="A158" s="15" t="inlineStr">
        <is>
          <t>B2 Russian Curl + DB Wt</t>
        </is>
      </c>
    </row>
    <row r="159">
      <c r="A159" s="8" t="n"/>
      <c r="B159" s="17" t="n">
        <v>1</v>
      </c>
      <c r="C159" s="8" t="n"/>
      <c r="D159" s="17" t="inlineStr">
        <is>
          <t>x6</t>
        </is>
      </c>
      <c r="E159" s="8" t="n"/>
    </row>
    <row r="160">
      <c r="A160" s="8" t="n"/>
      <c r="B160" s="17" t="n">
        <v>2</v>
      </c>
      <c r="C160" s="8" t="n"/>
      <c r="D160" s="17" t="inlineStr">
        <is>
          <t>x6</t>
        </is>
      </c>
      <c r="E160" s="8" t="n"/>
    </row>
    <row r="161">
      <c r="A161" s="8" t="n"/>
      <c r="B161" s="17" t="n">
        <v>3</v>
      </c>
      <c r="C161" s="8" t="n"/>
      <c r="D161" s="17" t="inlineStr">
        <is>
          <t>x6</t>
        </is>
      </c>
      <c r="E161" s="8" t="n"/>
    </row>
    <row r="163">
      <c r="A163" s="15" t="inlineStr">
        <is>
          <t>C1 SB SL LEG CURL</t>
        </is>
      </c>
    </row>
    <row r="164">
      <c r="A164" s="8" t="n"/>
      <c r="B164" s="17" t="n">
        <v>1</v>
      </c>
      <c r="C164" s="8" t="n"/>
      <c r="D164" s="17" t="inlineStr">
        <is>
          <t>x8ea</t>
        </is>
      </c>
      <c r="E164" s="8" t="n"/>
    </row>
    <row r="165">
      <c r="A165" s="8" t="n"/>
      <c r="B165" s="17" t="n">
        <v>2</v>
      </c>
      <c r="C165" s="8" t="n"/>
      <c r="D165" s="17" t="inlineStr">
        <is>
          <t>x8</t>
        </is>
      </c>
      <c r="E165" s="8" t="n"/>
    </row>
    <row r="167">
      <c r="A167" s="15" t="inlineStr">
        <is>
          <t>C2 Blast Strap Rear Delt Flyes</t>
        </is>
      </c>
    </row>
    <row r="168">
      <c r="A168" s="8" t="n"/>
      <c r="B168" s="17" t="n">
        <v>1</v>
      </c>
      <c r="C168" s="8" t="n"/>
      <c r="D168" s="17" t="inlineStr">
        <is>
          <t>x20</t>
        </is>
      </c>
      <c r="E168" s="8" t="n"/>
    </row>
  </sheetData>
  <mergeCells count="14">
    <mergeCell ref="A140:E140"/>
    <mergeCell ref="A100:E100"/>
    <mergeCell ref="A38:E38"/>
    <mergeCell ref="A73:E73"/>
    <mergeCell ref="A113:E113"/>
    <mergeCell ref="A52:E52"/>
    <mergeCell ref="A134:E134"/>
    <mergeCell ref="A60:E60"/>
    <mergeCell ref="A5:E5"/>
    <mergeCell ref="A94:E94"/>
    <mergeCell ref="A13:E13"/>
    <mergeCell ref="A123:E123"/>
    <mergeCell ref="A27:E27"/>
    <mergeCell ref="A153:E153"/>
  </mergeCells>
  <printOptions horizontalCentered="1"/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5" customWidth="1" min="2" max="2"/>
    <col width="12" customWidth="1" min="3" max="3"/>
    <col width="12" customWidth="1" min="4" max="4"/>
    <col width="10" customWidth="1" min="5" max="5"/>
  </cols>
  <sheetData>
    <row r="1" ht="24" customHeight="1">
      <c r="A1" s="11" t="inlineStr">
        <is>
          <t>Week 3</t>
        </is>
      </c>
      <c r="B1" s="1" t="n"/>
      <c r="C1" s="1" t="n"/>
      <c r="D1" s="1" t="n"/>
      <c r="E1" s="12" t="inlineStr">
        <is>
          <t>KNCT</t>
        </is>
      </c>
    </row>
    <row r="3" ht="18" customHeight="1">
      <c r="A3" s="13" t="inlineStr">
        <is>
          <t>MONDAY</t>
        </is>
      </c>
      <c r="B3" s="14" t="inlineStr">
        <is>
          <t>SET</t>
        </is>
      </c>
      <c r="C3" s="14" t="inlineStr">
        <is>
          <t>LOAD</t>
        </is>
      </c>
      <c r="D3" s="14" t="inlineStr">
        <is>
          <t>REPS</t>
        </is>
      </c>
      <c r="E3" s="14" t="inlineStr">
        <is>
          <t>DONE</t>
        </is>
      </c>
    </row>
    <row r="4">
      <c r="A4" s="15" t="inlineStr">
        <is>
          <t>HANG SNATCH</t>
        </is>
      </c>
    </row>
    <row r="5">
      <c r="A5" s="16" t="inlineStr">
        <is>
          <t>rest 3:00 min</t>
        </is>
      </c>
    </row>
    <row r="6">
      <c r="A6" s="8" t="n"/>
      <c r="B6" s="17" t="n">
        <v>1</v>
      </c>
      <c r="C6" s="18">
        <f>ROUND(snatch*0.7/roundto,0)*roundto</f>
        <v/>
      </c>
      <c r="D6" s="17" t="inlineStr">
        <is>
          <t>x3</t>
        </is>
      </c>
      <c r="E6" s="8" t="n"/>
    </row>
    <row r="7">
      <c r="A7" s="8" t="n"/>
      <c r="B7" s="17" t="n">
        <v>2</v>
      </c>
      <c r="C7" s="18">
        <f>ROUND(snatch*0.8/roundto,0)*roundto</f>
        <v/>
      </c>
      <c r="D7" s="17" t="inlineStr">
        <is>
          <t>x3</t>
        </is>
      </c>
      <c r="E7" s="8" t="n"/>
    </row>
    <row r="8">
      <c r="A8" s="8" t="n"/>
      <c r="B8" s="17" t="n">
        <v>3</v>
      </c>
      <c r="C8" s="18">
        <f>ROUND(snatch*0.8/roundto,0)*roundto</f>
        <v/>
      </c>
      <c r="D8" s="17" t="inlineStr">
        <is>
          <t>x3</t>
        </is>
      </c>
      <c r="E8" s="8" t="n"/>
    </row>
    <row r="9">
      <c r="A9" s="8" t="n"/>
      <c r="B9" s="17" t="n">
        <v>4</v>
      </c>
      <c r="C9" s="18">
        <f>ROUND(snatch*0.8/roundto,0)*roundto</f>
        <v/>
      </c>
      <c r="D9" s="17" t="inlineStr">
        <is>
          <t>x3</t>
        </is>
      </c>
      <c r="E9" s="8" t="n"/>
    </row>
    <row r="10">
      <c r="A10" s="8" t="n"/>
      <c r="B10" s="17" t="n">
        <v>5</v>
      </c>
      <c r="C10" s="18">
        <f>ROUND(snatch*0.8/roundto,0)*roundto</f>
        <v/>
      </c>
      <c r="D10" s="17" t="inlineStr">
        <is>
          <t>x3</t>
        </is>
      </c>
      <c r="E10" s="8" t="n"/>
    </row>
    <row r="11">
      <c r="A11" s="8" t="n"/>
      <c r="B11" s="17" t="n">
        <v>6</v>
      </c>
      <c r="C11" s="18">
        <f>ROUND(snatch*0.8/roundto,0)*roundto</f>
        <v/>
      </c>
      <c r="D11" s="17" t="inlineStr">
        <is>
          <t>x3</t>
        </is>
      </c>
      <c r="E11" s="8" t="n"/>
    </row>
    <row r="13">
      <c r="A13" s="15" t="inlineStr">
        <is>
          <t>A1 SQUAT</t>
        </is>
      </c>
    </row>
    <row r="14">
      <c r="A14" s="16" t="inlineStr">
        <is>
          <t>triple rest 1:00min</t>
        </is>
      </c>
    </row>
    <row r="15">
      <c r="A15" s="8" t="n"/>
      <c r="B15" s="17" t="n">
        <v>1</v>
      </c>
      <c r="C15" s="18">
        <f>ROUND(squat*0.65/roundto,0)*roundto</f>
        <v/>
      </c>
      <c r="D15" s="17" t="inlineStr">
        <is>
          <t>x5</t>
        </is>
      </c>
      <c r="E15" s="8" t="n"/>
    </row>
    <row r="16">
      <c r="A16" s="8" t="n"/>
      <c r="B16" s="17" t="n">
        <v>2</v>
      </c>
      <c r="C16" s="18">
        <f>ROUND(squat*0.7/roundto,0)*roundto</f>
        <v/>
      </c>
      <c r="D16" s="17" t="inlineStr">
        <is>
          <t>x5</t>
        </is>
      </c>
      <c r="E16" s="8" t="n"/>
    </row>
    <row r="17">
      <c r="A17" s="8" t="n"/>
      <c r="B17" s="17" t="n">
        <v>3</v>
      </c>
      <c r="C17" s="18">
        <f>ROUND(squat*0.75/roundto,0)*roundto</f>
        <v/>
      </c>
      <c r="D17" s="17" t="inlineStr">
        <is>
          <t>x5</t>
        </is>
      </c>
      <c r="E17" s="8" t="n"/>
    </row>
    <row r="18">
      <c r="A18" s="8" t="n"/>
      <c r="B18" s="17" t="n">
        <v>4</v>
      </c>
      <c r="C18" s="18">
        <f>ROUND(squat*0.8/roundto,0)*roundto</f>
        <v/>
      </c>
      <c r="D18" s="17" t="inlineStr">
        <is>
          <t>x5</t>
        </is>
      </c>
      <c r="E18" s="8" t="n"/>
    </row>
    <row r="19">
      <c r="A19" s="8" t="n"/>
      <c r="B19" s="17" t="n">
        <v>5</v>
      </c>
      <c r="C19" s="18">
        <f>ROUND(squat*0.85/roundto,0)*roundto</f>
        <v/>
      </c>
      <c r="D19" s="17" t="inlineStr">
        <is>
          <t>xmax</t>
        </is>
      </c>
      <c r="E19" s="8" t="n"/>
    </row>
    <row r="21">
      <c r="A21" s="15" t="inlineStr">
        <is>
          <t>A2 AB WHEEL</t>
        </is>
      </c>
    </row>
    <row r="22">
      <c r="A22" s="8" t="n"/>
      <c r="B22" s="17" t="n">
        <v>1</v>
      </c>
      <c r="C22" s="19" t="inlineStr">
        <is>
          <t>4sets</t>
        </is>
      </c>
      <c r="D22" s="17" t="inlineStr">
        <is>
          <t>x15</t>
        </is>
      </c>
      <c r="E22" s="8" t="n"/>
    </row>
    <row r="24">
      <c r="A24" s="15" t="inlineStr">
        <is>
          <t>A3 Pushup Position Flyes</t>
        </is>
      </c>
    </row>
    <row r="25">
      <c r="A25" s="8" t="n"/>
      <c r="B25" s="17" t="n">
        <v>1</v>
      </c>
      <c r="C25" s="19" t="inlineStr">
        <is>
          <t>4sets</t>
        </is>
      </c>
      <c r="D25" s="17" t="inlineStr">
        <is>
          <t>x5ea</t>
        </is>
      </c>
      <c r="E25" s="8" t="n"/>
    </row>
    <row r="27">
      <c r="A27" s="15" t="inlineStr">
        <is>
          <t>B1 DB RFE SQUAT</t>
        </is>
      </c>
    </row>
    <row r="28">
      <c r="A28" s="16" t="inlineStr">
        <is>
          <t>pair 1:30 rest</t>
        </is>
      </c>
    </row>
    <row r="29">
      <c r="A29" s="8" t="n"/>
      <c r="B29" s="17" t="n">
        <v>1</v>
      </c>
      <c r="C29" s="18">
        <f>ROUND(squat*0.3/roundto,0)*roundto</f>
        <v/>
      </c>
      <c r="D29" s="17" t="inlineStr">
        <is>
          <t>x4ea</t>
        </is>
      </c>
      <c r="E29" s="8" t="n"/>
    </row>
    <row r="30">
      <c r="A30" s="8" t="n"/>
      <c r="B30" s="17" t="n">
        <v>2</v>
      </c>
      <c r="C30" s="18">
        <f>ROUND(squat*0.32/roundto,0)*roundto</f>
        <v/>
      </c>
      <c r="D30" s="17" t="inlineStr">
        <is>
          <t>x4</t>
        </is>
      </c>
      <c r="E30" s="8" t="n"/>
    </row>
    <row r="31">
      <c r="A31" s="8" t="n"/>
      <c r="B31" s="17" t="n">
        <v>3</v>
      </c>
      <c r="C31" s="18">
        <f>ROUND(squat*0.34/roundto,0)*roundto</f>
        <v/>
      </c>
      <c r="D31" s="17" t="inlineStr">
        <is>
          <t>x4</t>
        </is>
      </c>
      <c r="E31" s="8" t="n"/>
    </row>
    <row r="33">
      <c r="A33" s="15" t="inlineStr">
        <is>
          <t>B2 PG PULLUP + WT</t>
        </is>
      </c>
    </row>
    <row r="34">
      <c r="A34" s="8" t="n"/>
      <c r="B34" s="17" t="n">
        <v>1</v>
      </c>
      <c r="C34" s="8" t="n"/>
      <c r="D34" s="17" t="inlineStr">
        <is>
          <t>x6</t>
        </is>
      </c>
      <c r="E34" s="8" t="n"/>
    </row>
    <row r="35">
      <c r="A35" s="8" t="n"/>
      <c r="B35" s="17" t="n">
        <v>2</v>
      </c>
      <c r="C35" s="8" t="n"/>
      <c r="D35" s="17" t="inlineStr">
        <is>
          <t>x6</t>
        </is>
      </c>
      <c r="E35" s="8" t="n"/>
    </row>
    <row r="36">
      <c r="A36" s="8" t="n"/>
      <c r="B36" s="17" t="n">
        <v>3</v>
      </c>
      <c r="C36" s="8" t="n"/>
      <c r="D36" s="17" t="inlineStr">
        <is>
          <t>x6</t>
        </is>
      </c>
      <c r="E36" s="8" t="n"/>
    </row>
    <row r="38">
      <c r="A38" s="15" t="inlineStr">
        <is>
          <t>C1 Cable Lift</t>
        </is>
      </c>
    </row>
    <row r="39">
      <c r="A39" s="16" t="inlineStr">
        <is>
          <t>pair 1:30 rest</t>
        </is>
      </c>
    </row>
    <row r="40">
      <c r="A40" s="8" t="n"/>
      <c r="B40" s="17" t="n">
        <v>1</v>
      </c>
      <c r="C40" s="8" t="n"/>
      <c r="D40" s="17" t="inlineStr">
        <is>
          <t>x5ea</t>
        </is>
      </c>
      <c r="E40" s="8" t="n"/>
    </row>
    <row r="41">
      <c r="A41" s="8" t="n"/>
      <c r="B41" s="17" t="n">
        <v>2</v>
      </c>
      <c r="C41" s="8" t="n"/>
      <c r="D41" s="17" t="inlineStr">
        <is>
          <t>x5</t>
        </is>
      </c>
      <c r="E41" s="8" t="n"/>
    </row>
    <row r="43">
      <c r="A43" s="15" t="inlineStr">
        <is>
          <t>C2 Blast Strap Hi-Row + ext. rot</t>
        </is>
      </c>
    </row>
    <row r="44">
      <c r="A44" s="8" t="n"/>
      <c r="B44" s="17" t="n">
        <v>1</v>
      </c>
      <c r="C44" s="8" t="n"/>
      <c r="D44" s="17" t="inlineStr">
        <is>
          <t>x16</t>
        </is>
      </c>
      <c r="E44" s="8" t="n"/>
    </row>
    <row r="45">
      <c r="A45" s="8" t="n"/>
      <c r="B45" s="17" t="n">
        <v>2</v>
      </c>
      <c r="C45" s="8" t="n"/>
      <c r="D45" s="17" t="inlineStr">
        <is>
          <t>x16</t>
        </is>
      </c>
      <c r="E45" s="8" t="n"/>
    </row>
    <row r="47">
      <c r="A47" s="15" t="inlineStr">
        <is>
          <t>C3 Hang Crunch</t>
        </is>
      </c>
    </row>
    <row r="48">
      <c r="A48" s="8" t="n"/>
      <c r="B48" s="17" t="n">
        <v>1</v>
      </c>
      <c r="C48" s="8" t="n"/>
      <c r="D48" s="17" t="inlineStr">
        <is>
          <t>x10</t>
        </is>
      </c>
      <c r="E48" s="8" t="n"/>
    </row>
    <row r="51" ht="18" customHeight="1">
      <c r="A51" s="13" t="inlineStr">
        <is>
          <t>TUESDAY</t>
        </is>
      </c>
      <c r="B51" s="14" t="inlineStr">
        <is>
          <t>SET</t>
        </is>
      </c>
      <c r="C51" s="14" t="inlineStr">
        <is>
          <t>LOAD</t>
        </is>
      </c>
      <c r="D51" s="14" t="inlineStr">
        <is>
          <t>REPS</t>
        </is>
      </c>
      <c r="E51" s="14" t="inlineStr">
        <is>
          <t>DONE</t>
        </is>
      </c>
    </row>
    <row r="52">
      <c r="A52" s="15" t="inlineStr">
        <is>
          <t>HANG CLEAN</t>
        </is>
      </c>
    </row>
    <row r="53">
      <c r="A53" s="16" t="inlineStr">
        <is>
          <t>rest 3:00 min</t>
        </is>
      </c>
    </row>
    <row r="54">
      <c r="A54" s="8" t="n"/>
      <c r="B54" s="17" t="n">
        <v>1</v>
      </c>
      <c r="C54" s="18">
        <f>ROUND(clean*0.7/roundto,0)*roundto</f>
        <v/>
      </c>
      <c r="D54" s="17" t="inlineStr">
        <is>
          <t>x2</t>
        </is>
      </c>
      <c r="E54" s="8" t="n"/>
    </row>
    <row r="55">
      <c r="A55" s="8" t="n"/>
      <c r="B55" s="17" t="n">
        <v>2</v>
      </c>
      <c r="C55" s="18">
        <f>ROUND(clean*0.75/roundto,0)*roundto</f>
        <v/>
      </c>
      <c r="D55" s="17" t="inlineStr">
        <is>
          <t>x2</t>
        </is>
      </c>
      <c r="E55" s="8" t="n"/>
    </row>
    <row r="56">
      <c r="A56" s="8" t="n"/>
      <c r="B56" s="17" t="n">
        <v>3</v>
      </c>
      <c r="C56" s="18">
        <f>ROUND(clean*0.8/roundto,0)*roundto</f>
        <v/>
      </c>
      <c r="D56" s="17" t="inlineStr">
        <is>
          <t>x2</t>
        </is>
      </c>
      <c r="E56" s="8" t="n"/>
    </row>
    <row r="57">
      <c r="A57" s="8" t="n"/>
      <c r="B57" s="17" t="n">
        <v>4</v>
      </c>
      <c r="C57" s="18">
        <f>ROUND(clean*0.85/roundto,0)*roundto</f>
        <v/>
      </c>
      <c r="D57" s="17" t="inlineStr">
        <is>
          <t>x2</t>
        </is>
      </c>
      <c r="E57" s="8" t="n"/>
    </row>
    <row r="58">
      <c r="A58" s="8" t="n"/>
      <c r="B58" s="17" t="n">
        <v>5</v>
      </c>
      <c r="C58" s="18">
        <f>ROUND(clean*0.9/roundto,0)*roundto</f>
        <v/>
      </c>
      <c r="D58" s="17" t="inlineStr">
        <is>
          <t>xmax</t>
        </is>
      </c>
      <c r="E58" s="8" t="n"/>
    </row>
    <row r="60">
      <c r="A60" s="15" t="inlineStr">
        <is>
          <t>A1 BENCH PRESS</t>
        </is>
      </c>
    </row>
    <row r="61">
      <c r="A61" s="16" t="inlineStr">
        <is>
          <t>pair rest 1:30min</t>
        </is>
      </c>
    </row>
    <row r="62">
      <c r="A62" s="8" t="n"/>
      <c r="B62" s="17" t="n">
        <v>1</v>
      </c>
      <c r="C62" s="18">
        <f>ROUND(bench*0.65/roundto,0)*roundto</f>
        <v/>
      </c>
      <c r="D62" s="17" t="inlineStr">
        <is>
          <t>x5</t>
        </is>
      </c>
      <c r="E62" s="8" t="n"/>
    </row>
    <row r="63">
      <c r="A63" s="8" t="n"/>
      <c r="B63" s="17" t="n">
        <v>2</v>
      </c>
      <c r="C63" s="18">
        <f>ROUND(bench*0.7/roundto,0)*roundto</f>
        <v/>
      </c>
      <c r="D63" s="17" t="inlineStr">
        <is>
          <t>x5</t>
        </is>
      </c>
      <c r="E63" s="8" t="n"/>
    </row>
    <row r="64">
      <c r="A64" s="8" t="n"/>
      <c r="B64" s="17" t="n">
        <v>3</v>
      </c>
      <c r="C64" s="18">
        <f>ROUND(bench*0.75/roundto,0)*roundto</f>
        <v/>
      </c>
      <c r="D64" s="17" t="inlineStr">
        <is>
          <t>x5</t>
        </is>
      </c>
      <c r="E64" s="8" t="n"/>
    </row>
    <row r="65">
      <c r="A65" s="8" t="n"/>
      <c r="B65" s="17" t="n">
        <v>4</v>
      </c>
      <c r="C65" s="18">
        <f>ROUND(bench*0.8/roundto,0)*roundto</f>
        <v/>
      </c>
      <c r="D65" s="17" t="inlineStr">
        <is>
          <t>x5</t>
        </is>
      </c>
      <c r="E65" s="8" t="n"/>
    </row>
    <row r="66">
      <c r="A66" s="8" t="n"/>
      <c r="B66" s="17" t="n">
        <v>5</v>
      </c>
      <c r="C66" s="18">
        <f>ROUND(bench*0.85/roundto,0)*roundto</f>
        <v/>
      </c>
      <c r="D66" s="17" t="inlineStr">
        <is>
          <t>xmax</t>
        </is>
      </c>
      <c r="E66" s="8" t="n"/>
    </row>
    <row r="68">
      <c r="A68" s="15" t="inlineStr">
        <is>
          <t>A2 GHR + WT</t>
        </is>
      </c>
    </row>
    <row r="69">
      <c r="A69" s="8" t="n"/>
      <c r="B69" s="17" t="n">
        <v>1</v>
      </c>
      <c r="C69" s="8" t="n"/>
      <c r="D69" s="17" t="inlineStr">
        <is>
          <t>x5</t>
        </is>
      </c>
      <c r="E69" s="8" t="n"/>
    </row>
    <row r="70">
      <c r="A70" s="8" t="n"/>
      <c r="B70" s="17" t="n">
        <v>2</v>
      </c>
      <c r="C70" s="8" t="n"/>
      <c r="D70" s="17" t="inlineStr">
        <is>
          <t>x5</t>
        </is>
      </c>
      <c r="E70" s="8" t="n"/>
    </row>
    <row r="71">
      <c r="A71" s="8" t="n"/>
      <c r="B71" s="17" t="n">
        <v>3</v>
      </c>
      <c r="C71" s="8" t="n"/>
      <c r="D71" s="17" t="inlineStr">
        <is>
          <t>x5</t>
        </is>
      </c>
      <c r="E71" s="8" t="n"/>
    </row>
    <row r="73">
      <c r="A73" s="15" t="inlineStr">
        <is>
          <t>B1 thick bar military press</t>
        </is>
      </c>
    </row>
    <row r="74">
      <c r="A74" s="16" t="inlineStr">
        <is>
          <t>pair 1:30 rest</t>
        </is>
      </c>
    </row>
    <row r="75">
      <c r="A75" s="8" t="n"/>
      <c r="B75" s="17" t="n">
        <v>1</v>
      </c>
      <c r="C75" s="18">
        <f>ROUND(bench*0.4125/roundto,0)*roundto</f>
        <v/>
      </c>
      <c r="D75" s="17" t="inlineStr">
        <is>
          <t>x4</t>
        </is>
      </c>
      <c r="E75" s="8" t="n"/>
    </row>
    <row r="76">
      <c r="A76" s="8" t="n"/>
      <c r="B76" s="17" t="n">
        <v>2</v>
      </c>
      <c r="C76" s="18">
        <f>ROUND(bench*0.44/roundto,0)*roundto</f>
        <v/>
      </c>
      <c r="D76" s="17" t="inlineStr">
        <is>
          <t>x4</t>
        </is>
      </c>
      <c r="E76" s="8" t="n"/>
    </row>
    <row r="77">
      <c r="A77" s="8" t="n"/>
      <c r="B77" s="17" t="n">
        <v>3</v>
      </c>
      <c r="C77" s="18">
        <f>ROUND(bench*0.4675/roundto,0)*roundto</f>
        <v/>
      </c>
      <c r="D77" s="17" t="inlineStr">
        <is>
          <t>x4</t>
        </is>
      </c>
      <c r="E77" s="8" t="n"/>
    </row>
    <row r="79">
      <c r="A79" s="15" t="inlineStr">
        <is>
          <t>B2 DB SL RDL</t>
        </is>
      </c>
    </row>
    <row r="80">
      <c r="A80" s="8" t="n"/>
      <c r="B80" s="17" t="n">
        <v>1</v>
      </c>
      <c r="C80" s="18">
        <f>ROUND(clean*0.375/roundto,0)*roundto</f>
        <v/>
      </c>
      <c r="D80" s="17" t="inlineStr">
        <is>
          <t>x4ea</t>
        </is>
      </c>
      <c r="E80" s="8" t="n"/>
    </row>
    <row r="81">
      <c r="A81" s="8" t="n"/>
      <c r="B81" s="17" t="n">
        <v>2</v>
      </c>
      <c r="C81" s="18">
        <f>ROUND(clean*0.375/roundto,0)*roundto</f>
        <v/>
      </c>
      <c r="D81" s="17" t="inlineStr">
        <is>
          <t>x4</t>
        </is>
      </c>
      <c r="E81" s="8" t="n"/>
    </row>
    <row r="83">
      <c r="A83" s="15" t="inlineStr">
        <is>
          <t>SL BB DEADLIFT</t>
        </is>
      </c>
    </row>
    <row r="84">
      <c r="A84" s="8" t="n"/>
      <c r="B84" s="17" t="n">
        <v>1</v>
      </c>
      <c r="C84" s="18">
        <f>ROUND(clean*0.4/roundto,0)*roundto</f>
        <v/>
      </c>
      <c r="D84" s="17" t="inlineStr">
        <is>
          <t>x5ea</t>
        </is>
      </c>
      <c r="E84" s="8" t="n"/>
    </row>
    <row r="85">
      <c r="A85" s="8" t="n"/>
      <c r="B85" s="17" t="n">
        <v>2</v>
      </c>
      <c r="C85" s="18">
        <f>ROUND(clean*0.425/roundto,0)*roundto</f>
        <v/>
      </c>
      <c r="D85" s="17" t="inlineStr">
        <is>
          <t>x5</t>
        </is>
      </c>
      <c r="E85" s="8" t="n"/>
    </row>
    <row r="88" ht="18" customHeight="1">
      <c r="A88" s="13" t="inlineStr">
        <is>
          <t>THURSDAY</t>
        </is>
      </c>
      <c r="B88" s="14" t="inlineStr">
        <is>
          <t>SET</t>
        </is>
      </c>
      <c r="C88" s="14" t="inlineStr">
        <is>
          <t>LOAD</t>
        </is>
      </c>
      <c r="D88" s="14" t="inlineStr">
        <is>
          <t>REPS</t>
        </is>
      </c>
      <c r="E88" s="14" t="inlineStr">
        <is>
          <t>DONE</t>
        </is>
      </c>
    </row>
    <row r="89">
      <c r="A89" s="15" t="inlineStr">
        <is>
          <t>DB SNATCH</t>
        </is>
      </c>
    </row>
    <row r="90">
      <c r="A90" s="16" t="inlineStr">
        <is>
          <t>rest 3:00 min</t>
        </is>
      </c>
    </row>
    <row r="91">
      <c r="A91" s="8" t="n"/>
      <c r="B91" s="17" t="n">
        <v>1</v>
      </c>
      <c r="C91" s="18">
        <f>ROUND(snatch*0.3575/roundto,0)*roundto</f>
        <v/>
      </c>
      <c r="D91" s="17" t="inlineStr">
        <is>
          <t>x2ea</t>
        </is>
      </c>
      <c r="E91" s="8" t="n"/>
    </row>
    <row r="92">
      <c r="A92" s="8" t="n"/>
      <c r="B92" s="17" t="n">
        <v>2</v>
      </c>
      <c r="C92" s="18">
        <f>ROUND(snatch*0.385/roundto,0)*roundto</f>
        <v/>
      </c>
      <c r="D92" s="17" t="inlineStr">
        <is>
          <t>x2</t>
        </is>
      </c>
      <c r="E92" s="8" t="n"/>
    </row>
    <row r="93">
      <c r="A93" s="8" t="n"/>
      <c r="B93" s="17" t="n">
        <v>3</v>
      </c>
      <c r="C93" s="18">
        <f>ROUND(snatch*0.4125/roundto,0)*roundto</f>
        <v/>
      </c>
      <c r="D93" s="17" t="inlineStr">
        <is>
          <t>x2</t>
        </is>
      </c>
      <c r="E93" s="8" t="n"/>
    </row>
    <row r="95">
      <c r="A95" s="15" t="inlineStr">
        <is>
          <t>A1 SQUAT</t>
        </is>
      </c>
    </row>
    <row r="96">
      <c r="A96" s="16" t="inlineStr">
        <is>
          <t>pair 1:30min</t>
        </is>
      </c>
    </row>
    <row r="97">
      <c r="A97" s="8" t="n"/>
      <c r="B97" s="17" t="n">
        <v>1</v>
      </c>
      <c r="C97" s="18">
        <f>ROUND(squat*0.75/roundto,0)*roundto</f>
        <v/>
      </c>
      <c r="D97" s="17" t="inlineStr">
        <is>
          <t>x4</t>
        </is>
      </c>
      <c r="E97" s="8" t="n"/>
    </row>
    <row r="98">
      <c r="A98" s="8" t="n"/>
      <c r="B98" s="17" t="n">
        <v>2</v>
      </c>
      <c r="C98" s="18">
        <f>ROUND(squat*0.75/roundto,0)*roundto</f>
        <v/>
      </c>
      <c r="D98" s="17" t="inlineStr">
        <is>
          <t>x4</t>
        </is>
      </c>
      <c r="E98" s="8" t="n"/>
    </row>
    <row r="100">
      <c r="A100" s="15" t="inlineStr">
        <is>
          <t>A2 DB ROW</t>
        </is>
      </c>
    </row>
    <row r="101">
      <c r="A101" s="8" t="n"/>
      <c r="B101" s="17" t="n">
        <v>1</v>
      </c>
      <c r="C101" s="18">
        <f>ROUND(clean*0.3/roundto,0)*roundto</f>
        <v/>
      </c>
      <c r="D101" s="17" t="inlineStr">
        <is>
          <t>x4ea</t>
        </is>
      </c>
      <c r="E101" s="8" t="n"/>
    </row>
    <row r="102">
      <c r="A102" s="8" t="n"/>
      <c r="B102" s="17" t="n">
        <v>2</v>
      </c>
      <c r="C102" s="18">
        <f>ROUND(clean*0.3/roundto,0)*roundto</f>
        <v/>
      </c>
      <c r="D102" s="17" t="inlineStr">
        <is>
          <t>x4</t>
        </is>
      </c>
      <c r="E102" s="8" t="n"/>
    </row>
    <row r="104">
      <c r="A104" s="15" t="inlineStr">
        <is>
          <t>B1 DB REVERSE LUNGE</t>
        </is>
      </c>
    </row>
    <row r="105">
      <c r="A105" s="16" t="inlineStr">
        <is>
          <t>pair 1:30 rest all on right/all on left · (total weight)</t>
        </is>
      </c>
    </row>
    <row r="106">
      <c r="A106" s="8" t="n"/>
      <c r="B106" s="17" t="n">
        <v>1</v>
      </c>
      <c r="C106" s="18">
        <f>ROUND(squat*0.24/roundto,0)*roundto</f>
        <v/>
      </c>
      <c r="D106" s="17" t="inlineStr">
        <is>
          <t>x4ea</t>
        </is>
      </c>
      <c r="E106" s="8" t="n"/>
    </row>
    <row r="107">
      <c r="A107" s="8" t="n"/>
      <c r="B107" s="17" t="n">
        <v>2</v>
      </c>
      <c r="C107" s="18">
        <f>ROUND(squat*0.26/roundto,0)*roundto</f>
        <v/>
      </c>
      <c r="D107" s="17" t="inlineStr">
        <is>
          <t>x4</t>
        </is>
      </c>
      <c r="E107" s="8" t="n"/>
    </row>
    <row r="108">
      <c r="A108" s="8" t="n"/>
      <c r="B108" s="17" t="n">
        <v>3</v>
      </c>
      <c r="C108" s="18">
        <f>ROUND(squat*0.28/roundto,0)*roundto</f>
        <v/>
      </c>
      <c r="D108" s="17" t="inlineStr">
        <is>
          <t>x4</t>
        </is>
      </c>
      <c r="E108" s="8" t="n"/>
    </row>
    <row r="110">
      <c r="A110" s="15" t="inlineStr">
        <is>
          <t>B2 cable chop</t>
        </is>
      </c>
    </row>
    <row r="111">
      <c r="A111" s="8" t="n"/>
      <c r="B111" s="17" t="n">
        <v>1</v>
      </c>
      <c r="C111" s="8" t="n"/>
      <c r="D111" s="17" t="inlineStr">
        <is>
          <t>x5ea</t>
        </is>
      </c>
      <c r="E111" s="8" t="n"/>
    </row>
    <row r="112">
      <c r="A112" s="8" t="n"/>
      <c r="B112" s="17" t="n">
        <v>2</v>
      </c>
      <c r="C112" s="8" t="n"/>
      <c r="D112" s="17" t="inlineStr">
        <is>
          <t>x5</t>
        </is>
      </c>
      <c r="E112" s="8" t="n"/>
    </row>
    <row r="114">
      <c r="A114" s="15" t="inlineStr">
        <is>
          <t>C1 THICK GRIP PG Pullup</t>
        </is>
      </c>
    </row>
    <row r="115">
      <c r="A115" s="16" t="inlineStr">
        <is>
          <t>pair 1:30 rest</t>
        </is>
      </c>
    </row>
    <row r="116">
      <c r="A116" s="8" t="n"/>
      <c r="B116" s="17" t="n">
        <v>1</v>
      </c>
      <c r="C116" s="8" t="n"/>
      <c r="D116" s="17" t="inlineStr">
        <is>
          <t>xmax</t>
        </is>
      </c>
      <c r="E116" s="8" t="n"/>
    </row>
    <row r="117">
      <c r="A117" s="8" t="n"/>
      <c r="B117" s="17" t="n">
        <v>2</v>
      </c>
      <c r="C117" s="8" t="n"/>
      <c r="D117" s="17" t="inlineStr">
        <is>
          <t>xmax</t>
        </is>
      </c>
      <c r="E117" s="8" t="n"/>
    </row>
    <row r="119">
      <c r="A119" s="15" t="inlineStr">
        <is>
          <t>C2 Cable Pushaways</t>
        </is>
      </c>
    </row>
    <row r="120">
      <c r="A120" s="8" t="n"/>
      <c r="B120" s="17" t="n">
        <v>1</v>
      </c>
      <c r="C120" s="8" t="n"/>
      <c r="D120" s="17" t="inlineStr">
        <is>
          <t>x4ea</t>
        </is>
      </c>
      <c r="E120" s="8" t="n"/>
    </row>
    <row r="121">
      <c r="A121" s="8" t="n"/>
      <c r="B121" s="17" t="n">
        <v>2</v>
      </c>
      <c r="C121" s="8" t="n"/>
      <c r="D121" s="17" t="inlineStr">
        <is>
          <t>x4</t>
        </is>
      </c>
      <c r="E121" s="8" t="n"/>
    </row>
    <row r="124" ht="18" customHeight="1">
      <c r="A124" s="13" t="inlineStr">
        <is>
          <t>FRIDAY</t>
        </is>
      </c>
      <c r="B124" s="14" t="inlineStr">
        <is>
          <t>SET</t>
        </is>
      </c>
      <c r="C124" s="14" t="inlineStr">
        <is>
          <t>LOAD</t>
        </is>
      </c>
      <c r="D124" s="14" t="inlineStr">
        <is>
          <t>REPS</t>
        </is>
      </c>
      <c r="E124" s="14" t="inlineStr">
        <is>
          <t>DONE</t>
        </is>
      </c>
    </row>
    <row r="125">
      <c r="A125" s="15" t="inlineStr">
        <is>
          <t>PUSH JERK</t>
        </is>
      </c>
    </row>
    <row r="126">
      <c r="A126" s="16" t="inlineStr">
        <is>
          <t>rest 2:00 min</t>
        </is>
      </c>
    </row>
    <row r="127">
      <c r="A127" s="8" t="n"/>
      <c r="B127" s="17" t="n">
        <v>1</v>
      </c>
      <c r="C127" s="18">
        <f>ROUND(jerk*0.7/roundto,0)*roundto</f>
        <v/>
      </c>
      <c r="D127" s="17" t="inlineStr">
        <is>
          <t>x2</t>
        </is>
      </c>
      <c r="E127" s="8" t="n"/>
    </row>
    <row r="128">
      <c r="A128" s="8" t="n"/>
      <c r="B128" s="17" t="n">
        <v>2</v>
      </c>
      <c r="C128" s="18">
        <f>ROUND(jerk*0.75/roundto,0)*roundto</f>
        <v/>
      </c>
      <c r="D128" s="17" t="inlineStr">
        <is>
          <t>x2</t>
        </is>
      </c>
      <c r="E128" s="8" t="n"/>
    </row>
    <row r="129">
      <c r="A129" s="8" t="n"/>
      <c r="B129" s="17" t="n">
        <v>3</v>
      </c>
      <c r="C129" s="18">
        <f>ROUND(jerk*0.8/roundto,0)*roundto</f>
        <v/>
      </c>
      <c r="D129" s="17" t="inlineStr">
        <is>
          <t>x2</t>
        </is>
      </c>
      <c r="E129" s="8" t="n"/>
    </row>
    <row r="131">
      <c r="A131" s="15" t="inlineStr">
        <is>
          <t>A1 BENCH PRESS</t>
        </is>
      </c>
    </row>
    <row r="132">
      <c r="A132" s="16" t="inlineStr">
        <is>
          <t>pair rest 1:30min</t>
        </is>
      </c>
    </row>
    <row r="133">
      <c r="A133" s="8" t="n"/>
      <c r="B133" s="17" t="n">
        <v>1</v>
      </c>
      <c r="C133" s="18">
        <f>ROUND(bench*0.75/roundto,0)*roundto</f>
        <v/>
      </c>
      <c r="D133" s="17" t="inlineStr">
        <is>
          <t>x4</t>
        </is>
      </c>
      <c r="E133" s="8" t="n"/>
    </row>
    <row r="134">
      <c r="A134" s="8" t="n"/>
      <c r="B134" s="17" t="n">
        <v>2</v>
      </c>
      <c r="C134" s="18">
        <f>ROUND(bench*0.75/roundto,0)*roundto</f>
        <v/>
      </c>
      <c r="D134" s="17" t="inlineStr">
        <is>
          <t>x4</t>
        </is>
      </c>
      <c r="E134" s="8" t="n"/>
    </row>
    <row r="136">
      <c r="A136" s="15" t="inlineStr">
        <is>
          <t>A2 BB CLEAN GRIP DEADLIFT</t>
        </is>
      </c>
    </row>
    <row r="137">
      <c r="A137" s="8" t="n"/>
      <c r="B137" s="17" t="n">
        <v>1</v>
      </c>
      <c r="C137" s="18">
        <f>ROUND(clean*0.9/roundto,0)*roundto</f>
        <v/>
      </c>
      <c r="D137" s="17" t="inlineStr">
        <is>
          <t>x4</t>
        </is>
      </c>
      <c r="E137" s="8" t="n"/>
    </row>
    <row r="138">
      <c r="A138" s="8" t="n"/>
      <c r="B138" s="17" t="n">
        <v>2</v>
      </c>
      <c r="C138" s="18">
        <f>ROUND(clean*0.9/roundto,0)*roundto</f>
        <v/>
      </c>
      <c r="D138" s="17" t="inlineStr">
        <is>
          <t>x4</t>
        </is>
      </c>
      <c r="E138" s="8" t="n"/>
    </row>
    <row r="140">
      <c r="A140" s="15" t="inlineStr">
        <is>
          <t>B1 ALT DB LOCKOUT INCLINE PRESS</t>
        </is>
      </c>
    </row>
    <row r="141">
      <c r="A141" s="16" t="inlineStr">
        <is>
          <t>pair 1:30 rest</t>
        </is>
      </c>
    </row>
    <row r="142">
      <c r="A142" s="8" t="n"/>
      <c r="B142" s="17" t="n">
        <v>1</v>
      </c>
      <c r="C142" s="18">
        <f>ROUND(bench*0.2625/roundto,0)*roundto</f>
        <v/>
      </c>
      <c r="D142" s="17" t="inlineStr">
        <is>
          <t>x4ea</t>
        </is>
      </c>
      <c r="E142" s="8" t="n"/>
    </row>
    <row r="143">
      <c r="A143" s="8" t="n"/>
      <c r="B143" s="17" t="n">
        <v>2</v>
      </c>
      <c r="C143" s="18">
        <f>ROUND(bench*0.2625/roundto,0)*roundto</f>
        <v/>
      </c>
      <c r="D143" s="17" t="inlineStr">
        <is>
          <t>x4</t>
        </is>
      </c>
      <c r="E143" s="8" t="n"/>
    </row>
    <row r="145">
      <c r="A145" s="15" t="inlineStr">
        <is>
          <t>B2 Russian Curl + DB Wt</t>
        </is>
      </c>
    </row>
    <row r="146">
      <c r="A146" s="8" t="n"/>
      <c r="B146" s="17" t="n">
        <v>1</v>
      </c>
      <c r="C146" s="8" t="n"/>
      <c r="D146" s="17" t="inlineStr">
        <is>
          <t>x6</t>
        </is>
      </c>
      <c r="E146" s="8" t="n"/>
    </row>
    <row r="147">
      <c r="A147" s="8" t="n"/>
      <c r="B147" s="17" t="n">
        <v>2</v>
      </c>
      <c r="C147" s="8" t="n"/>
      <c r="D147" s="17" t="inlineStr">
        <is>
          <t>x6</t>
        </is>
      </c>
      <c r="E147" s="8" t="n"/>
    </row>
    <row r="149">
      <c r="A149" s="15" t="inlineStr">
        <is>
          <t>C1 SB SL LEG CURL</t>
        </is>
      </c>
    </row>
    <row r="150">
      <c r="A150" s="8" t="n"/>
      <c r="B150" s="17" t="n">
        <v>1</v>
      </c>
      <c r="C150" s="8" t="n"/>
      <c r="D150" s="17" t="inlineStr">
        <is>
          <t>x10ea</t>
        </is>
      </c>
      <c r="E150" s="8" t="n"/>
    </row>
    <row r="151">
      <c r="A151" s="8" t="n"/>
      <c r="B151" s="17" t="n">
        <v>2</v>
      </c>
      <c r="C151" s="8" t="n"/>
      <c r="D151" s="17" t="inlineStr">
        <is>
          <t>x10</t>
        </is>
      </c>
      <c r="E151" s="8" t="n"/>
    </row>
    <row r="153">
      <c r="A153" s="15" t="inlineStr">
        <is>
          <t>C2 Blast Strap Rear Delt Flyes</t>
        </is>
      </c>
    </row>
    <row r="154">
      <c r="A154" s="8" t="n"/>
      <c r="B154" s="17" t="n">
        <v>1</v>
      </c>
      <c r="C154" s="8" t="n"/>
      <c r="D154" s="17" t="inlineStr">
        <is>
          <t>x10</t>
        </is>
      </c>
      <c r="E154" s="8" t="n"/>
    </row>
  </sheetData>
  <mergeCells count="14">
    <mergeCell ref="A39:E39"/>
    <mergeCell ref="A53:E53"/>
    <mergeCell ref="A105:E105"/>
    <mergeCell ref="A96:E96"/>
    <mergeCell ref="A28:E28"/>
    <mergeCell ref="A90:E90"/>
    <mergeCell ref="A5:E5"/>
    <mergeCell ref="A115:E115"/>
    <mergeCell ref="A132:E132"/>
    <mergeCell ref="A14:E14"/>
    <mergeCell ref="A61:E61"/>
    <mergeCell ref="A74:E74"/>
    <mergeCell ref="A126:E126"/>
    <mergeCell ref="A141:E141"/>
  </mergeCells>
  <printOptions horizontalCentered="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2026-09-07T05:44:52Z</dcterms:created>
  <dcterms:modified xsi:type="dcterms:W3CDTF">2026-09-07T05:44:53Z</dcterms:modified>
</cp:coreProperties>
</file>